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iosclafani/Desktop/PhD/crawford/results/"/>
    </mc:Choice>
  </mc:AlternateContent>
  <xr:revisionPtr revIDLastSave="0" documentId="13_ncr:1_{A97983EF-083C-4A48-B165-872D845A0095}" xr6:coauthVersionLast="47" xr6:coauthVersionMax="47" xr10:uidLastSave="{00000000-0000-0000-0000-000000000000}"/>
  <bookViews>
    <workbookView xWindow="0" yWindow="760" windowWidth="28040" windowHeight="17060" xr2:uid="{074F7990-151F-2D45-8994-98A44BBB97C2}"/>
  </bookViews>
  <sheets>
    <sheet name="MH-roma5" sheetId="4" r:id="rId1"/>
    <sheet name="MH-napoli5" sheetId="3" r:id="rId2"/>
    <sheet name="MH-milano5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4" l="1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2" i="4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2" i="3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2" i="1"/>
</calcChain>
</file>

<file path=xl/sharedStrings.xml><?xml version="1.0" encoding="utf-8"?>
<sst xmlns="http://schemas.openxmlformats.org/spreadsheetml/2006/main" count="222" uniqueCount="174">
  <si>
    <t>N.H. o-d</t>
  </si>
  <si>
    <t>N.C.</t>
  </si>
  <si>
    <t>N.H.</t>
  </si>
  <si>
    <t>N.F.</t>
  </si>
  <si>
    <t>N. HUBS</t>
  </si>
  <si>
    <t>N.A.</t>
  </si>
  <si>
    <t>N.D.H</t>
  </si>
  <si>
    <t>N.D.HUBS</t>
  </si>
  <si>
    <t>N.D.</t>
  </si>
  <si>
    <t>N.D.R</t>
  </si>
  <si>
    <t>B.U.</t>
  </si>
  <si>
    <t>B.F.</t>
  </si>
  <si>
    <t>OBJ</t>
  </si>
  <si>
    <t>GAP</t>
  </si>
  <si>
    <t>LB</t>
  </si>
  <si>
    <t>F.C</t>
  </si>
  <si>
    <t>H.C</t>
  </si>
  <si>
    <t>N.F.A</t>
  </si>
  <si>
    <t>N.HUBS.A</t>
  </si>
  <si>
    <t>N. ARCS</t>
  </si>
  <si>
    <t>N. HUBS ARCS</t>
  </si>
  <si>
    <t>AVG.F.PATH</t>
  </si>
  <si>
    <t>TIME(s)</t>
  </si>
  <si>
    <t>ROMA-10-1-c</t>
  </si>
  <si>
    <t>ROMA-10-1-nc</t>
  </si>
  <si>
    <t>ROMA-10-2-c</t>
  </si>
  <si>
    <t>ROMA-10-2-nc</t>
  </si>
  <si>
    <t>ROMA-10-3-c</t>
  </si>
  <si>
    <t>ROMA-10-3-nc</t>
  </si>
  <si>
    <t>ROMA-10-4-c</t>
  </si>
  <si>
    <t>ROMA-10-4-nc</t>
  </si>
  <si>
    <t>ROMA-10-5-c</t>
  </si>
  <si>
    <t>ROMA-10-5-nc</t>
  </si>
  <si>
    <t>ROMA-20-1-c</t>
  </si>
  <si>
    <t>ROMA-20-1-nc</t>
  </si>
  <si>
    <t>ROMA-20-2-c</t>
  </si>
  <si>
    <t>ROMA-20-2-nc</t>
  </si>
  <si>
    <t>ROMA-20-3-c</t>
  </si>
  <si>
    <t>ROMA-20-3-nc</t>
  </si>
  <si>
    <t>ROMA-20-4-c</t>
  </si>
  <si>
    <t>ROMA-20-4-nc</t>
  </si>
  <si>
    <t>ROMA-20-5-c</t>
  </si>
  <si>
    <t>ROMA-20-5-nc</t>
  </si>
  <si>
    <t>ROMA-30-1-c</t>
  </si>
  <si>
    <t>ROMA-30-1-nc</t>
  </si>
  <si>
    <t>ROMA-30-2-c</t>
  </si>
  <si>
    <t>ROMA-30-2-nc</t>
  </si>
  <si>
    <t>ROMA-30-3-c</t>
  </si>
  <si>
    <t>ROMA-30-3-nc</t>
  </si>
  <si>
    <t>ROMA-30-4-c</t>
  </si>
  <si>
    <t>ROMA-30-4-nc</t>
  </si>
  <si>
    <t>ROMA-30-5-c</t>
  </si>
  <si>
    <t>ROMA-30-5-nc</t>
  </si>
  <si>
    <t>ROMA-40-1-c</t>
  </si>
  <si>
    <t>ROMA-40-1-nc</t>
  </si>
  <si>
    <t>ROMA-40-2-c</t>
  </si>
  <si>
    <t>ROMA-40-2-nc</t>
  </si>
  <si>
    <t>ROMA-40-3-c</t>
  </si>
  <si>
    <t>ROMA-40-3-nc</t>
  </si>
  <si>
    <t>ROMA-40-4-c</t>
  </si>
  <si>
    <t>ROMA-40-4-nc</t>
  </si>
  <si>
    <t>ROMA-40-5-c</t>
  </si>
  <si>
    <t>ROMA-40-5-nc</t>
  </si>
  <si>
    <t>ROMA-50-1-c</t>
  </si>
  <si>
    <t>ROMA-50-1-nc</t>
  </si>
  <si>
    <t>ROMA-50-2-c</t>
  </si>
  <si>
    <t>ROMA-50-2-nc</t>
  </si>
  <si>
    <t>ROMA-50-3-c</t>
  </si>
  <si>
    <t>ROMA-50-3-nc</t>
  </si>
  <si>
    <t>ROMA-50-4-c</t>
  </si>
  <si>
    <t>ROMA-50-4-nc</t>
  </si>
  <si>
    <t>ROMA-50-5-c</t>
  </si>
  <si>
    <t>ROMA-50-5-nc</t>
  </si>
  <si>
    <t>NAPOLI-10-1-c</t>
  </si>
  <si>
    <t>NAPOLI-10-1-nc</t>
  </si>
  <si>
    <t>NAPOLI-10-2-c</t>
  </si>
  <si>
    <t>NAPOLI-10-2-nc</t>
  </si>
  <si>
    <t>NAPOLI-10-3-c</t>
  </si>
  <si>
    <t>NAPOLI-10-3-nc</t>
  </si>
  <si>
    <t>NAPOLI-10-4-c</t>
  </si>
  <si>
    <t>NAPOLI-10-4-nc</t>
  </si>
  <si>
    <t>NAPOLI-10-5-c</t>
  </si>
  <si>
    <t>NAPOLI-10-5-nc</t>
  </si>
  <si>
    <t>NAPOLI-20-1-c</t>
  </si>
  <si>
    <t>NAPOLI-20-1-nc</t>
  </si>
  <si>
    <t>NAPOLI-20-2-c</t>
  </si>
  <si>
    <t>NAPOLI-20-2-nc</t>
  </si>
  <si>
    <t>NAPOLI-20-3-c</t>
  </si>
  <si>
    <t>NAPOLI-20-3-nc</t>
  </si>
  <si>
    <t>NAPOLI-20-4-c</t>
  </si>
  <si>
    <t>NAPOLI-20-4-nc</t>
  </si>
  <si>
    <t>NAPOLI-20-5-c</t>
  </si>
  <si>
    <t>NAPOLI-20-5-nc</t>
  </si>
  <si>
    <t>NAPOLI-30-1-c</t>
  </si>
  <si>
    <t>NAPOLI-30-1-nc</t>
  </si>
  <si>
    <t>NAPOLI-30-2-c</t>
  </si>
  <si>
    <t>NAPOLI-30-2-nc</t>
  </si>
  <si>
    <t>NAPOLI-30-3-c</t>
  </si>
  <si>
    <t>NAPOLI-30-3-nc</t>
  </si>
  <si>
    <t>NAPOLI-30-4-c</t>
  </si>
  <si>
    <t>NAPOLI-30-4-nc</t>
  </si>
  <si>
    <t>NAPOLI-30-5-c</t>
  </si>
  <si>
    <t>NAPOLI-30-5-nc</t>
  </si>
  <si>
    <t>NAPOLI-40-1-c</t>
  </si>
  <si>
    <t>NAPOLI-40-1-nc</t>
  </si>
  <si>
    <t>NAPOLI-40-2-c</t>
  </si>
  <si>
    <t>NAPOLI-40-2-nc</t>
  </si>
  <si>
    <t>NAPOLI-40-3-c</t>
  </si>
  <si>
    <t>NAPOLI-40-3-nc</t>
  </si>
  <si>
    <t>NAPOLI-40-4-c</t>
  </si>
  <si>
    <t>NAPOLI-40-4-nc</t>
  </si>
  <si>
    <t>NAPOLI-40-5-c</t>
  </si>
  <si>
    <t>NAPOLI-40-5-nc</t>
  </si>
  <si>
    <t>NAPOLI-50-1-c</t>
  </si>
  <si>
    <t>NAPOLI-50-1-nc</t>
  </si>
  <si>
    <t>NAPOLI-50-2-c</t>
  </si>
  <si>
    <t>NAPOLI-50-2-nc</t>
  </si>
  <si>
    <t>NAPOLI-50-3-c</t>
  </si>
  <si>
    <t>NAPOLI-50-3-nc</t>
  </si>
  <si>
    <t>NAPOLI-50-4-c</t>
  </si>
  <si>
    <t>NAPOLI-50-4-nc</t>
  </si>
  <si>
    <t>NAPOLI-50-5-c</t>
  </si>
  <si>
    <t>NAPOLI-50-5-nc</t>
  </si>
  <si>
    <t>MILANO-10-1-c</t>
  </si>
  <si>
    <t>MILANO-10-1-nc</t>
  </si>
  <si>
    <t>MILANO-10-2-c</t>
  </si>
  <si>
    <t>MILANO-10-2-nc</t>
  </si>
  <si>
    <t>MILANO-10-3-c</t>
  </si>
  <si>
    <t>MILANO-10-3-nc</t>
  </si>
  <si>
    <t>MILANO-10-4-c</t>
  </si>
  <si>
    <t>MILANO-10-4-nc</t>
  </si>
  <si>
    <t>MILANO-10-5-c</t>
  </si>
  <si>
    <t>MILANO-10-5-nc</t>
  </si>
  <si>
    <t>MILANO-20-1-c</t>
  </si>
  <si>
    <t>MILANO-20-1-nc</t>
  </si>
  <si>
    <t>MILANO-20-2-c</t>
  </si>
  <si>
    <t>MILANO-20-2-nc</t>
  </si>
  <si>
    <t>MILANO-20-3-c</t>
  </si>
  <si>
    <t>MILANO-20-3-nc</t>
  </si>
  <si>
    <t>MILANO-20-4-c</t>
  </si>
  <si>
    <t>MILANO-20-4-nc</t>
  </si>
  <si>
    <t>MILANO-20-5-c</t>
  </si>
  <si>
    <t>MILANO-20-5-nc</t>
  </si>
  <si>
    <t>MILANO-30-1-c</t>
  </si>
  <si>
    <t>MILANO-30-1-nc</t>
  </si>
  <si>
    <t>MILANO-30-2-c</t>
  </si>
  <si>
    <t>MILANO-30-2-nc</t>
  </si>
  <si>
    <t>MILANO-30-3-c</t>
  </si>
  <si>
    <t>MILANO-30-3-nc</t>
  </si>
  <si>
    <t>MILANO-30-4-c</t>
  </si>
  <si>
    <t>MILANO-30-4-nc</t>
  </si>
  <si>
    <t>MILANO-30-5-c</t>
  </si>
  <si>
    <t>MILANO-30-5-nc</t>
  </si>
  <si>
    <t>MILANO-40-1-c</t>
  </si>
  <si>
    <t>MILANO-40-1-nc</t>
  </si>
  <si>
    <t>MILANO-40-2-c</t>
  </si>
  <si>
    <t>MILANO-40-2-nc</t>
  </si>
  <si>
    <t>MILANO-40-3-c</t>
  </si>
  <si>
    <t>MILANO-40-3-nc</t>
  </si>
  <si>
    <t>MILANO-40-4-c</t>
  </si>
  <si>
    <t>MILANO-40-4-nc</t>
  </si>
  <si>
    <t>MILANO-40-5-c</t>
  </si>
  <si>
    <t>MILANO-40-5-nc</t>
  </si>
  <si>
    <t>MILANO-50-1-c</t>
  </si>
  <si>
    <t>MILANO-50-1-nc</t>
  </si>
  <si>
    <t>MILANO-50-2-c</t>
  </si>
  <si>
    <t>MILANO-50-2-nc</t>
  </si>
  <si>
    <t>MILANO-50-3-c</t>
  </si>
  <si>
    <t>MILANO-50-3-nc</t>
  </si>
  <si>
    <t>MILANO-50-4-c</t>
  </si>
  <si>
    <t>MILANO-50-4-nc</t>
  </si>
  <si>
    <t>MILANO-50-5-c</t>
  </si>
  <si>
    <t>MILANO-50-5-nc</t>
  </si>
  <si>
    <t>GAP-MM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</si>
</sst>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9" fontId="0" fillId="0" borderId="0" xfId="1" applyFont="1"/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essiosclafani/Desktop/PhD/crawford/results/MM-urban5.xlsx" TargetMode="External"/><Relationship Id="rId1" Type="http://schemas.openxmlformats.org/officeDocument/2006/relationships/externalLinkPath" Target="MM-urban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M-roma5"/>
      <sheetName val="MM-napoli5"/>
      <sheetName val="MM-milano5"/>
    </sheetNames>
    <sheetDataSet>
      <sheetData sheetId="0">
        <row r="2">
          <cell r="S2">
            <v>14.0116393378949</v>
          </cell>
        </row>
        <row r="3">
          <cell r="S3">
            <v>13.2519321021894</v>
          </cell>
        </row>
        <row r="4">
          <cell r="S4">
            <v>9.4684939676164692</v>
          </cell>
        </row>
        <row r="5">
          <cell r="S5">
            <v>8.4207899670721407</v>
          </cell>
        </row>
        <row r="6">
          <cell r="S6">
            <v>13.021038220526499</v>
          </cell>
        </row>
        <row r="7">
          <cell r="S7">
            <v>13.0018244171813</v>
          </cell>
        </row>
        <row r="8">
          <cell r="S8">
            <v>10.948531278160701</v>
          </cell>
        </row>
        <row r="9">
          <cell r="S9">
            <v>7.0885352245955202</v>
          </cell>
        </row>
        <row r="10">
          <cell r="S10">
            <v>6.5929822595916203</v>
          </cell>
        </row>
        <row r="11">
          <cell r="S11">
            <v>9.7350650267323005</v>
          </cell>
        </row>
        <row r="12">
          <cell r="S12">
            <v>18.384401701466999</v>
          </cell>
        </row>
        <row r="13">
          <cell r="S13">
            <v>18.420736431439899</v>
          </cell>
        </row>
        <row r="14">
          <cell r="S14">
            <v>32.120677785006897</v>
          </cell>
        </row>
        <row r="15">
          <cell r="S15">
            <v>18.618623334082798</v>
          </cell>
        </row>
        <row r="16">
          <cell r="S16">
            <v>25.869340638354199</v>
          </cell>
        </row>
        <row r="17">
          <cell r="S17">
            <v>25.3895790155564</v>
          </cell>
        </row>
        <row r="18">
          <cell r="S18">
            <v>20.220438934522399</v>
          </cell>
        </row>
        <row r="19">
          <cell r="S19">
            <v>29.149228041303001</v>
          </cell>
        </row>
        <row r="20">
          <cell r="S20">
            <v>24.136609094884399</v>
          </cell>
        </row>
        <row r="21">
          <cell r="S21">
            <v>23.385736204396999</v>
          </cell>
        </row>
        <row r="22">
          <cell r="S22">
            <v>34.0050005331249</v>
          </cell>
        </row>
        <row r="23">
          <cell r="S23">
            <v>43.338289367497701</v>
          </cell>
        </row>
        <row r="24">
          <cell r="S24">
            <v>25.536833953888902</v>
          </cell>
        </row>
        <row r="25">
          <cell r="S25">
            <v>35.741945260230501</v>
          </cell>
        </row>
        <row r="26">
          <cell r="S26">
            <v>36.420871516475799</v>
          </cell>
        </row>
        <row r="27">
          <cell r="S27">
            <v>35.0345546692919</v>
          </cell>
        </row>
        <row r="28">
          <cell r="S28">
            <v>37.114686834597698</v>
          </cell>
        </row>
        <row r="29">
          <cell r="S29">
            <v>35.652133408131697</v>
          </cell>
        </row>
        <row r="30">
          <cell r="S30">
            <v>38.346424301624097</v>
          </cell>
        </row>
        <row r="31">
          <cell r="S31">
            <v>34.178202019030302</v>
          </cell>
        </row>
        <row r="32">
          <cell r="S32">
            <v>55.166126688926198</v>
          </cell>
        </row>
        <row r="33">
          <cell r="S33">
            <v>48.316938586479402</v>
          </cell>
        </row>
        <row r="34">
          <cell r="S34">
            <v>40.962540561998303</v>
          </cell>
        </row>
        <row r="35">
          <cell r="S35">
            <v>42.870411943813899</v>
          </cell>
        </row>
        <row r="36">
          <cell r="S36">
            <v>38.195181091642397</v>
          </cell>
        </row>
        <row r="37">
          <cell r="S37">
            <v>46.334736795900099</v>
          </cell>
        </row>
        <row r="38">
          <cell r="S38">
            <v>46.917507657479597</v>
          </cell>
        </row>
        <row r="39">
          <cell r="S39">
            <v>35.845019127102901</v>
          </cell>
        </row>
        <row r="40">
          <cell r="S40">
            <v>46.003883159006598</v>
          </cell>
        </row>
        <row r="41">
          <cell r="S41">
            <v>49.967937097539298</v>
          </cell>
        </row>
        <row r="42">
          <cell r="S42">
            <v>60.453513568892099</v>
          </cell>
        </row>
        <row r="43">
          <cell r="S43">
            <v>67.694211186069495</v>
          </cell>
        </row>
        <row r="44">
          <cell r="S44">
            <v>64.258363530394504</v>
          </cell>
        </row>
        <row r="45">
          <cell r="S45">
            <v>59.804840922733199</v>
          </cell>
        </row>
        <row r="46">
          <cell r="S46">
            <v>63.397345756324</v>
          </cell>
        </row>
        <row r="47">
          <cell r="S47">
            <v>63.033771797798998</v>
          </cell>
        </row>
        <row r="48">
          <cell r="S48">
            <v>64.180183753846407</v>
          </cell>
        </row>
        <row r="49">
          <cell r="S49">
            <v>59.510565189664099</v>
          </cell>
        </row>
        <row r="50">
          <cell r="S50">
            <v>60.385712594362303</v>
          </cell>
        </row>
        <row r="51">
          <cell r="S51">
            <v>66.066139663268999</v>
          </cell>
        </row>
      </sheetData>
      <sheetData sheetId="1">
        <row r="2">
          <cell r="S2">
            <v>14.3490194132602</v>
          </cell>
        </row>
        <row r="3">
          <cell r="S3">
            <v>8.1845214300659599</v>
          </cell>
        </row>
        <row r="4">
          <cell r="S4">
            <v>6.3762983166081399</v>
          </cell>
        </row>
        <row r="5">
          <cell r="S5">
            <v>6.1228968146935996</v>
          </cell>
        </row>
        <row r="6">
          <cell r="S6">
            <v>11.8335770772805</v>
          </cell>
        </row>
        <row r="7">
          <cell r="S7">
            <v>11.5563138364442</v>
          </cell>
        </row>
        <row r="8">
          <cell r="S8">
            <v>13.3100256070644</v>
          </cell>
        </row>
        <row r="9">
          <cell r="S9">
            <v>10.3845350143391</v>
          </cell>
        </row>
        <row r="10">
          <cell r="S10">
            <v>8.1944445910219308</v>
          </cell>
        </row>
        <row r="11">
          <cell r="S11">
            <v>9.3128370665481004</v>
          </cell>
        </row>
        <row r="12">
          <cell r="S12">
            <v>17.7255576921653</v>
          </cell>
        </row>
        <row r="13">
          <cell r="S13">
            <v>23.223030025505299</v>
          </cell>
        </row>
        <row r="14">
          <cell r="S14">
            <v>21.883621559940298</v>
          </cell>
        </row>
        <row r="15">
          <cell r="S15">
            <v>23.43533925393</v>
          </cell>
        </row>
        <row r="16">
          <cell r="S16">
            <v>22.3571867937866</v>
          </cell>
        </row>
        <row r="17">
          <cell r="S17">
            <v>19.243079210271201</v>
          </cell>
        </row>
        <row r="18">
          <cell r="S18">
            <v>21.419621230922999</v>
          </cell>
        </row>
        <row r="19">
          <cell r="S19">
            <v>22.162198908187801</v>
          </cell>
        </row>
        <row r="20">
          <cell r="S20">
            <v>20.979596911132901</v>
          </cell>
        </row>
        <row r="21">
          <cell r="S21">
            <v>22.218812096368801</v>
          </cell>
        </row>
        <row r="22">
          <cell r="S22">
            <v>24.170958900429302</v>
          </cell>
        </row>
        <row r="23">
          <cell r="S23">
            <v>28.174115038064599</v>
          </cell>
        </row>
        <row r="24">
          <cell r="S24">
            <v>28.785920280754102</v>
          </cell>
        </row>
        <row r="25">
          <cell r="S25">
            <v>42.354737273464401</v>
          </cell>
        </row>
        <row r="26">
          <cell r="S26">
            <v>30.668838719957101</v>
          </cell>
        </row>
        <row r="27">
          <cell r="S27">
            <v>21.7491655134518</v>
          </cell>
        </row>
        <row r="28">
          <cell r="S28">
            <v>30.043915146355499</v>
          </cell>
        </row>
        <row r="29">
          <cell r="S29">
            <v>39.1659886233858</v>
          </cell>
        </row>
        <row r="30">
          <cell r="S30">
            <v>36.072375318939301</v>
          </cell>
        </row>
        <row r="31">
          <cell r="S31">
            <v>29.3249322828351</v>
          </cell>
        </row>
        <row r="32">
          <cell r="S32">
            <v>33.4651381074003</v>
          </cell>
        </row>
        <row r="33">
          <cell r="S33">
            <v>45.726008790425603</v>
          </cell>
        </row>
        <row r="34">
          <cell r="S34">
            <v>34.744323996596101</v>
          </cell>
        </row>
        <row r="35">
          <cell r="S35">
            <v>42.393048266850798</v>
          </cell>
        </row>
        <row r="36">
          <cell r="S36">
            <v>37.310520820975597</v>
          </cell>
        </row>
        <row r="37">
          <cell r="S37">
            <v>34.648496910041999</v>
          </cell>
        </row>
        <row r="38">
          <cell r="S38">
            <v>39.012260954671298</v>
          </cell>
        </row>
        <row r="39">
          <cell r="S39">
            <v>29.787682163917101</v>
          </cell>
        </row>
        <row r="40">
          <cell r="S40">
            <v>38.3377909130257</v>
          </cell>
        </row>
        <row r="41">
          <cell r="S41">
            <v>42.140421313407401</v>
          </cell>
        </row>
        <row r="42">
          <cell r="S42">
            <v>40.9176513691704</v>
          </cell>
        </row>
        <row r="43">
          <cell r="S43">
            <v>43.5856472760941</v>
          </cell>
        </row>
        <row r="44">
          <cell r="S44">
            <v>54.704813686601902</v>
          </cell>
        </row>
        <row r="45">
          <cell r="S45">
            <v>51.555063488425802</v>
          </cell>
        </row>
        <row r="46">
          <cell r="S46">
            <v>61.221461321562401</v>
          </cell>
        </row>
        <row r="47">
          <cell r="S47">
            <v>48.7368849048732</v>
          </cell>
        </row>
        <row r="48">
          <cell r="S48">
            <v>45.675368236826102</v>
          </cell>
        </row>
        <row r="49">
          <cell r="S49">
            <v>51.655480989081703</v>
          </cell>
        </row>
        <row r="50">
          <cell r="S50">
            <v>49.3757628872429</v>
          </cell>
        </row>
        <row r="51">
          <cell r="S51">
            <v>49.670916540677503</v>
          </cell>
        </row>
      </sheetData>
      <sheetData sheetId="2">
        <row r="2">
          <cell r="S2">
            <v>12.083785621642599</v>
          </cell>
          <cell r="U2">
            <v>12.083785621642599</v>
          </cell>
        </row>
        <row r="3">
          <cell r="S3">
            <v>17.143345555100598</v>
          </cell>
          <cell r="U3">
            <v>17.143345555100598</v>
          </cell>
        </row>
        <row r="4">
          <cell r="S4">
            <v>9.6810900661572106</v>
          </cell>
          <cell r="U4">
            <v>9.6810900661572106</v>
          </cell>
        </row>
        <row r="5">
          <cell r="S5">
            <v>12.4094630110907</v>
          </cell>
          <cell r="U5">
            <v>12.4094630110907</v>
          </cell>
        </row>
        <row r="6">
          <cell r="S6">
            <v>12.047781394951199</v>
          </cell>
          <cell r="U6">
            <v>12.047781394951199</v>
          </cell>
        </row>
        <row r="7">
          <cell r="S7">
            <v>9.3230113493137399</v>
          </cell>
          <cell r="U7">
            <v>9.3230113493137399</v>
          </cell>
        </row>
        <row r="8">
          <cell r="S8">
            <v>7.5010861563244404</v>
          </cell>
          <cell r="U8">
            <v>7.5010861563244404</v>
          </cell>
        </row>
        <row r="9">
          <cell r="S9">
            <v>10.5604950347146</v>
          </cell>
          <cell r="U9">
            <v>10.5604950347146</v>
          </cell>
        </row>
        <row r="10">
          <cell r="S10">
            <v>17.3824601151248</v>
          </cell>
          <cell r="U10">
            <v>17.3824601151248</v>
          </cell>
        </row>
        <row r="11">
          <cell r="S11">
            <v>15.0876473125918</v>
          </cell>
          <cell r="U11">
            <v>15.0876473125918</v>
          </cell>
        </row>
        <row r="12">
          <cell r="S12">
            <v>18.4355457317779</v>
          </cell>
          <cell r="U12">
            <v>18.4355457317779</v>
          </cell>
        </row>
        <row r="13">
          <cell r="S13">
            <v>23.6632212970819</v>
          </cell>
          <cell r="U13">
            <v>23.6632212970819</v>
          </cell>
        </row>
        <row r="14">
          <cell r="S14">
            <v>32.943420041709203</v>
          </cell>
          <cell r="U14">
            <v>32.943420041709203</v>
          </cell>
        </row>
        <row r="15">
          <cell r="S15">
            <v>22.794639633259902</v>
          </cell>
          <cell r="U15">
            <v>22.794639633259902</v>
          </cell>
        </row>
        <row r="16">
          <cell r="S16">
            <v>18.196679699128801</v>
          </cell>
          <cell r="U16">
            <v>18.196679699128801</v>
          </cell>
        </row>
        <row r="17">
          <cell r="S17">
            <v>18.1464971044898</v>
          </cell>
          <cell r="U17">
            <v>18.1464971044898</v>
          </cell>
        </row>
        <row r="18">
          <cell r="S18">
            <v>19.760804665560901</v>
          </cell>
          <cell r="U18">
            <v>19.760804665560901</v>
          </cell>
        </row>
        <row r="19">
          <cell r="S19">
            <v>23.6038108825623</v>
          </cell>
          <cell r="U19">
            <v>23.6038108825623</v>
          </cell>
        </row>
        <row r="20">
          <cell r="S20">
            <v>22.852053700559001</v>
          </cell>
          <cell r="U20">
            <v>22.852053700559001</v>
          </cell>
        </row>
        <row r="21">
          <cell r="S21">
            <v>27.5886923837915</v>
          </cell>
          <cell r="U21">
            <v>27.5886923837914</v>
          </cell>
        </row>
        <row r="22">
          <cell r="S22">
            <v>36.355978565502397</v>
          </cell>
          <cell r="U22">
            <v>36.355978565502397</v>
          </cell>
        </row>
        <row r="23">
          <cell r="S23">
            <v>41.941696866512501</v>
          </cell>
          <cell r="U23">
            <v>41.941696866512501</v>
          </cell>
        </row>
        <row r="24">
          <cell r="S24">
            <v>37.836353167124003</v>
          </cell>
          <cell r="U24">
            <v>37.836353167124003</v>
          </cell>
        </row>
        <row r="25">
          <cell r="S25">
            <v>39.179539171813197</v>
          </cell>
          <cell r="U25">
            <v>39.179539171813197</v>
          </cell>
        </row>
        <row r="26">
          <cell r="S26">
            <v>28.637649902619899</v>
          </cell>
          <cell r="U26">
            <v>28.637649902619899</v>
          </cell>
        </row>
        <row r="27">
          <cell r="S27">
            <v>31.187111837703998</v>
          </cell>
          <cell r="U27">
            <v>31.187111837703998</v>
          </cell>
        </row>
        <row r="28">
          <cell r="S28">
            <v>33.904752112670799</v>
          </cell>
          <cell r="U28">
            <v>33.904752112670799</v>
          </cell>
        </row>
        <row r="29">
          <cell r="S29">
            <v>51.474823212449998</v>
          </cell>
          <cell r="U29">
            <v>51.474823212449998</v>
          </cell>
        </row>
        <row r="30">
          <cell r="S30">
            <v>34.348114150707303</v>
          </cell>
          <cell r="U30">
            <v>34.348114150707303</v>
          </cell>
        </row>
        <row r="31">
          <cell r="S31">
            <v>42.583800030746403</v>
          </cell>
          <cell r="U31">
            <v>42.583800030746403</v>
          </cell>
        </row>
        <row r="32">
          <cell r="S32">
            <v>46.397465323985998</v>
          </cell>
          <cell r="U32">
            <v>46.397465323985998</v>
          </cell>
        </row>
        <row r="33">
          <cell r="S33">
            <v>48.373571549456102</v>
          </cell>
          <cell r="U33">
            <v>48.373571549456102</v>
          </cell>
        </row>
        <row r="34">
          <cell r="S34">
            <v>50.860022967645698</v>
          </cell>
          <cell r="U34">
            <v>50.860022967645698</v>
          </cell>
        </row>
        <row r="35">
          <cell r="S35">
            <v>37.174171698462402</v>
          </cell>
          <cell r="U35">
            <v>37.174171698462402</v>
          </cell>
        </row>
        <row r="36">
          <cell r="S36">
            <v>49.922518770279403</v>
          </cell>
          <cell r="U36">
            <v>49.922518770279403</v>
          </cell>
        </row>
        <row r="37">
          <cell r="S37">
            <v>45.999429511537798</v>
          </cell>
          <cell r="U37">
            <v>45.999429511537798</v>
          </cell>
        </row>
        <row r="38">
          <cell r="S38">
            <v>53.152202672213498</v>
          </cell>
          <cell r="U38">
            <v>53.152202672213498</v>
          </cell>
        </row>
        <row r="39">
          <cell r="S39">
            <v>43.234620308464798</v>
          </cell>
          <cell r="U39">
            <v>43.234620308464798</v>
          </cell>
        </row>
        <row r="40">
          <cell r="S40">
            <v>41.4585412081234</v>
          </cell>
          <cell r="U40">
            <v>41.4585412081234</v>
          </cell>
        </row>
        <row r="41">
          <cell r="S41">
            <v>41.528653421660202</v>
          </cell>
          <cell r="U41">
            <v>41.528653421660202</v>
          </cell>
        </row>
        <row r="42">
          <cell r="S42">
            <v>46.195567330139703</v>
          </cell>
          <cell r="U42">
            <v>46.195567330139703</v>
          </cell>
        </row>
        <row r="43">
          <cell r="S43">
            <v>58.533857538790997</v>
          </cell>
          <cell r="U43">
            <v>58.533857538790997</v>
          </cell>
        </row>
        <row r="44">
          <cell r="S44">
            <v>60.2272524101462</v>
          </cell>
          <cell r="U44">
            <v>60.2272524101462</v>
          </cell>
        </row>
        <row r="45">
          <cell r="S45">
            <v>67.511100291182004</v>
          </cell>
          <cell r="U45">
            <v>67.511100291182004</v>
          </cell>
        </row>
        <row r="46">
          <cell r="S46">
            <v>68.170568689243694</v>
          </cell>
          <cell r="U46">
            <v>68.170568689243694</v>
          </cell>
        </row>
        <row r="47">
          <cell r="S47">
            <v>59.613596140198602</v>
          </cell>
          <cell r="U47">
            <v>59.613596140198602</v>
          </cell>
        </row>
        <row r="48">
          <cell r="S48">
            <v>66.975869128180193</v>
          </cell>
          <cell r="U48">
            <v>66.975869128180193</v>
          </cell>
        </row>
        <row r="49">
          <cell r="S49">
            <v>75.606264778819394</v>
          </cell>
          <cell r="U49">
            <v>75.606264778819394</v>
          </cell>
        </row>
        <row r="50">
          <cell r="S50">
            <v>58.8164965154836</v>
          </cell>
          <cell r="U50">
            <v>58.8164965154836</v>
          </cell>
        </row>
        <row r="51">
          <cell r="S51">
            <v>73.981243168061198</v>
          </cell>
          <cell r="U51">
            <v>73.981243168061198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A0F5-E9E4-0842-B557-7A22687BAE2C}">
  <dimension ref="A1:Y51"/>
  <sheetViews>
    <sheetView tabSelected="1" topLeftCell="H1" workbookViewId="0">
      <selection activeCell="Z2" sqref="Z2"/>
    </sheetView>
  </sheetViews>
  <sheetFormatPr baseColWidth="10" defaultRowHeight="16" x14ac:dyDescent="0.2"/>
  <sheetData>
    <row r="1" spans="1:2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173</v>
      </c>
    </row>
    <row r="2" spans="1:25" x14ac:dyDescent="0.2">
      <c r="A2" t="s">
        <v>23</v>
      </c>
      <c r="B2">
        <v>10</v>
      </c>
      <c r="C2">
        <v>10</v>
      </c>
      <c r="D2">
        <v>20</v>
      </c>
      <c r="E2">
        <v>41</v>
      </c>
      <c r="F2">
        <v>3</v>
      </c>
      <c r="G2">
        <v>10</v>
      </c>
      <c r="H2">
        <v>14</v>
      </c>
      <c r="I2">
        <v>120</v>
      </c>
      <c r="J2">
        <v>134</v>
      </c>
      <c r="K2">
        <v>23</v>
      </c>
      <c r="L2">
        <v>105000</v>
      </c>
      <c r="M2">
        <v>3075000</v>
      </c>
      <c r="N2">
        <v>14.0116393378949</v>
      </c>
      <c r="O2">
        <v>0</v>
      </c>
      <c r="P2">
        <v>14.0116393378949</v>
      </c>
      <c r="Q2">
        <v>750000</v>
      </c>
      <c r="R2">
        <v>100000</v>
      </c>
      <c r="S2">
        <v>5</v>
      </c>
      <c r="T2">
        <v>2</v>
      </c>
      <c r="U2">
        <v>10</v>
      </c>
      <c r="V2">
        <v>7</v>
      </c>
      <c r="W2">
        <v>0.5</v>
      </c>
      <c r="X2">
        <v>2.5086164474487301E-2</v>
      </c>
      <c r="Y2" s="2">
        <f>(N2-'[1]MM-roma5'!S2)/'[1]MM-roma5'!S2</f>
        <v>0</v>
      </c>
    </row>
    <row r="3" spans="1:25" x14ac:dyDescent="0.2">
      <c r="A3" t="s">
        <v>24</v>
      </c>
      <c r="B3">
        <v>10</v>
      </c>
      <c r="C3">
        <v>10</v>
      </c>
      <c r="D3">
        <v>20</v>
      </c>
      <c r="E3">
        <v>41</v>
      </c>
      <c r="F3">
        <v>3</v>
      </c>
      <c r="G3">
        <v>10</v>
      </c>
      <c r="H3">
        <v>13</v>
      </c>
      <c r="I3">
        <v>120</v>
      </c>
      <c r="J3">
        <v>133</v>
      </c>
      <c r="K3">
        <v>20</v>
      </c>
      <c r="L3">
        <v>105000</v>
      </c>
      <c r="M3">
        <v>3075000</v>
      </c>
      <c r="N3">
        <v>13.2519321021894</v>
      </c>
      <c r="O3">
        <v>0</v>
      </c>
      <c r="P3">
        <v>13.2519321021894</v>
      </c>
      <c r="Q3">
        <v>600000</v>
      </c>
      <c r="R3">
        <v>100000</v>
      </c>
      <c r="S3">
        <v>4</v>
      </c>
      <c r="T3">
        <v>2</v>
      </c>
      <c r="U3">
        <v>10</v>
      </c>
      <c r="V3">
        <v>5</v>
      </c>
      <c r="W3">
        <v>0.5</v>
      </c>
      <c r="X3">
        <v>1.7086029052734299E-2</v>
      </c>
      <c r="Y3" s="2">
        <f>(N3-'[1]MM-roma5'!S3)/'[1]MM-roma5'!S3</f>
        <v>0</v>
      </c>
    </row>
    <row r="4" spans="1:25" x14ac:dyDescent="0.2">
      <c r="A4" t="s">
        <v>25</v>
      </c>
      <c r="B4">
        <v>10</v>
      </c>
      <c r="C4">
        <v>10</v>
      </c>
      <c r="D4">
        <v>20</v>
      </c>
      <c r="E4">
        <v>41</v>
      </c>
      <c r="F4">
        <v>3</v>
      </c>
      <c r="G4">
        <v>10</v>
      </c>
      <c r="H4">
        <v>16</v>
      </c>
      <c r="I4">
        <v>120</v>
      </c>
      <c r="J4">
        <v>136</v>
      </c>
      <c r="K4">
        <v>22</v>
      </c>
      <c r="L4">
        <v>105000</v>
      </c>
      <c r="M4">
        <v>3075000</v>
      </c>
      <c r="N4">
        <v>9.4684939676164692</v>
      </c>
      <c r="O4">
        <v>0</v>
      </c>
      <c r="P4">
        <v>9.4684939676164692</v>
      </c>
      <c r="Q4">
        <v>450000</v>
      </c>
      <c r="R4">
        <v>100000</v>
      </c>
      <c r="S4">
        <v>3</v>
      </c>
      <c r="T4">
        <v>2</v>
      </c>
      <c r="U4">
        <v>10</v>
      </c>
      <c r="V4">
        <v>5</v>
      </c>
      <c r="W4">
        <v>0.3</v>
      </c>
      <c r="X4">
        <v>1.6386032104492101E-2</v>
      </c>
      <c r="Y4" s="2">
        <f>(N4-'[1]MM-roma5'!S4)/'[1]MM-roma5'!S4</f>
        <v>0</v>
      </c>
    </row>
    <row r="5" spans="1:25" x14ac:dyDescent="0.2">
      <c r="A5" t="s">
        <v>26</v>
      </c>
      <c r="B5">
        <v>10</v>
      </c>
      <c r="C5">
        <v>10</v>
      </c>
      <c r="D5">
        <v>20</v>
      </c>
      <c r="E5">
        <v>41</v>
      </c>
      <c r="F5">
        <v>3</v>
      </c>
      <c r="G5">
        <v>10</v>
      </c>
      <c r="H5">
        <v>12</v>
      </c>
      <c r="I5">
        <v>120</v>
      </c>
      <c r="J5">
        <v>132</v>
      </c>
      <c r="K5">
        <v>18</v>
      </c>
      <c r="L5">
        <v>105000</v>
      </c>
      <c r="M5">
        <v>3075000</v>
      </c>
      <c r="N5">
        <v>8.4207899670721407</v>
      </c>
      <c r="O5">
        <v>0</v>
      </c>
      <c r="P5">
        <v>8.4207899670721407</v>
      </c>
      <c r="Q5">
        <v>150000</v>
      </c>
      <c r="R5">
        <v>50000</v>
      </c>
      <c r="S5">
        <v>1</v>
      </c>
      <c r="T5">
        <v>1</v>
      </c>
      <c r="U5">
        <v>10</v>
      </c>
      <c r="V5">
        <v>4</v>
      </c>
      <c r="W5">
        <v>0.2</v>
      </c>
      <c r="X5">
        <v>1.3561010360717701E-2</v>
      </c>
      <c r="Y5" s="2">
        <f>(N5-'[1]MM-roma5'!S5)/'[1]MM-roma5'!S5</f>
        <v>0</v>
      </c>
    </row>
    <row r="6" spans="1:25" x14ac:dyDescent="0.2">
      <c r="A6" t="s">
        <v>27</v>
      </c>
      <c r="B6">
        <v>10</v>
      </c>
      <c r="C6">
        <v>10</v>
      </c>
      <c r="D6">
        <v>20</v>
      </c>
      <c r="E6">
        <v>41</v>
      </c>
      <c r="F6">
        <v>3</v>
      </c>
      <c r="G6">
        <v>10</v>
      </c>
      <c r="H6">
        <v>11</v>
      </c>
      <c r="I6">
        <v>120</v>
      </c>
      <c r="J6">
        <v>131</v>
      </c>
      <c r="K6">
        <v>18</v>
      </c>
      <c r="L6">
        <v>105000</v>
      </c>
      <c r="M6">
        <v>3075000</v>
      </c>
      <c r="N6">
        <v>13.021038220526499</v>
      </c>
      <c r="O6">
        <v>0</v>
      </c>
      <c r="P6">
        <v>13.021038220526499</v>
      </c>
      <c r="Q6">
        <v>750000</v>
      </c>
      <c r="R6">
        <v>100000</v>
      </c>
      <c r="S6">
        <v>5</v>
      </c>
      <c r="T6">
        <v>2</v>
      </c>
      <c r="U6">
        <v>10</v>
      </c>
      <c r="V6">
        <v>5</v>
      </c>
      <c r="W6">
        <v>0.6</v>
      </c>
      <c r="X6">
        <v>1.94880962371826E-2</v>
      </c>
      <c r="Y6" s="2">
        <f>(N6-'[1]MM-roma5'!S6)/'[1]MM-roma5'!S6</f>
        <v>0</v>
      </c>
    </row>
    <row r="7" spans="1:25" x14ac:dyDescent="0.2">
      <c r="A7" t="s">
        <v>28</v>
      </c>
      <c r="B7">
        <v>10</v>
      </c>
      <c r="C7">
        <v>10</v>
      </c>
      <c r="D7">
        <v>20</v>
      </c>
      <c r="E7">
        <v>41</v>
      </c>
      <c r="F7">
        <v>3</v>
      </c>
      <c r="G7">
        <v>10</v>
      </c>
      <c r="H7">
        <v>13</v>
      </c>
      <c r="I7">
        <v>120</v>
      </c>
      <c r="J7">
        <v>133</v>
      </c>
      <c r="K7">
        <v>22</v>
      </c>
      <c r="L7">
        <v>105000</v>
      </c>
      <c r="M7">
        <v>3075000</v>
      </c>
      <c r="N7">
        <v>13.0018244171813</v>
      </c>
      <c r="O7">
        <v>0</v>
      </c>
      <c r="P7">
        <v>13.0018244171813</v>
      </c>
      <c r="Q7">
        <v>300000</v>
      </c>
      <c r="R7">
        <v>100000</v>
      </c>
      <c r="S7">
        <v>2</v>
      </c>
      <c r="T7">
        <v>2</v>
      </c>
      <c r="U7">
        <v>10</v>
      </c>
      <c r="V7">
        <v>7</v>
      </c>
      <c r="W7">
        <v>0.3</v>
      </c>
      <c r="X7">
        <v>1.68499946594238E-2</v>
      </c>
      <c r="Y7" s="2">
        <f>(N7-'[1]MM-roma5'!S7)/'[1]MM-roma5'!S7</f>
        <v>0</v>
      </c>
    </row>
    <row r="8" spans="1:25" x14ac:dyDescent="0.2">
      <c r="A8" t="s">
        <v>29</v>
      </c>
      <c r="B8">
        <v>10</v>
      </c>
      <c r="C8">
        <v>10</v>
      </c>
      <c r="D8">
        <v>20</v>
      </c>
      <c r="E8">
        <v>41</v>
      </c>
      <c r="F8">
        <v>3</v>
      </c>
      <c r="G8">
        <v>10</v>
      </c>
      <c r="H8">
        <v>15</v>
      </c>
      <c r="I8">
        <v>120</v>
      </c>
      <c r="J8">
        <v>135</v>
      </c>
      <c r="K8">
        <v>18</v>
      </c>
      <c r="L8">
        <v>105000</v>
      </c>
      <c r="M8">
        <v>3075000</v>
      </c>
      <c r="N8">
        <v>10.948531278160701</v>
      </c>
      <c r="O8">
        <v>0</v>
      </c>
      <c r="P8">
        <v>10.948531278160701</v>
      </c>
      <c r="Q8">
        <v>600000</v>
      </c>
      <c r="R8">
        <v>100000</v>
      </c>
      <c r="S8">
        <v>4</v>
      </c>
      <c r="T8">
        <v>2</v>
      </c>
      <c r="U8">
        <v>10</v>
      </c>
      <c r="V8">
        <v>4</v>
      </c>
      <c r="W8">
        <v>0.5</v>
      </c>
      <c r="X8">
        <v>1.8479108810424801E-2</v>
      </c>
      <c r="Y8" s="2">
        <f>(N8-'[1]MM-roma5'!S8)/'[1]MM-roma5'!S8</f>
        <v>0</v>
      </c>
    </row>
    <row r="9" spans="1:25" x14ac:dyDescent="0.2">
      <c r="A9" t="s">
        <v>30</v>
      </c>
      <c r="B9">
        <v>10</v>
      </c>
      <c r="C9">
        <v>10</v>
      </c>
      <c r="D9">
        <v>20</v>
      </c>
      <c r="E9">
        <v>41</v>
      </c>
      <c r="F9">
        <v>3</v>
      </c>
      <c r="G9">
        <v>10</v>
      </c>
      <c r="H9">
        <v>14</v>
      </c>
      <c r="I9">
        <v>120</v>
      </c>
      <c r="J9">
        <v>134</v>
      </c>
      <c r="K9">
        <v>18</v>
      </c>
      <c r="L9">
        <v>105000</v>
      </c>
      <c r="M9">
        <v>3075000</v>
      </c>
      <c r="N9">
        <v>7.0885352245955202</v>
      </c>
      <c r="O9">
        <v>0</v>
      </c>
      <c r="P9">
        <v>7.0885352245955202</v>
      </c>
      <c r="Q9">
        <v>300000</v>
      </c>
      <c r="R9">
        <v>50000</v>
      </c>
      <c r="S9">
        <v>2</v>
      </c>
      <c r="T9">
        <v>1</v>
      </c>
      <c r="U9">
        <v>10</v>
      </c>
      <c r="V9">
        <v>4</v>
      </c>
      <c r="W9">
        <v>0.3</v>
      </c>
      <c r="X9">
        <v>1.6650915145873999E-2</v>
      </c>
      <c r="Y9" s="2">
        <f>(N9-'[1]MM-roma5'!S9)/'[1]MM-roma5'!S9</f>
        <v>0</v>
      </c>
    </row>
    <row r="10" spans="1:25" x14ac:dyDescent="0.2">
      <c r="A10" t="s">
        <v>31</v>
      </c>
      <c r="B10">
        <v>10</v>
      </c>
      <c r="C10">
        <v>10</v>
      </c>
      <c r="D10">
        <v>20</v>
      </c>
      <c r="E10">
        <v>41</v>
      </c>
      <c r="F10">
        <v>3</v>
      </c>
      <c r="G10">
        <v>10</v>
      </c>
      <c r="H10">
        <v>12</v>
      </c>
      <c r="I10">
        <v>120</v>
      </c>
      <c r="J10">
        <v>132</v>
      </c>
      <c r="K10">
        <v>14</v>
      </c>
      <c r="L10">
        <v>105000</v>
      </c>
      <c r="M10">
        <v>3075000</v>
      </c>
      <c r="N10">
        <v>6.5929822595916301</v>
      </c>
      <c r="O10">
        <v>0</v>
      </c>
      <c r="P10">
        <v>6.5929822595916203</v>
      </c>
      <c r="Q10">
        <v>300000</v>
      </c>
      <c r="R10">
        <v>100000</v>
      </c>
      <c r="S10">
        <v>2</v>
      </c>
      <c r="T10">
        <v>2</v>
      </c>
      <c r="U10">
        <v>10</v>
      </c>
      <c r="V10">
        <v>3</v>
      </c>
      <c r="W10">
        <v>0.2</v>
      </c>
      <c r="X10">
        <v>1.0346889495849601E-2</v>
      </c>
      <c r="Y10" s="2">
        <f>(N10-'[1]MM-roma5'!S10)/'[1]MM-roma5'!S10</f>
        <v>1.481873032873373E-15</v>
      </c>
    </row>
    <row r="11" spans="1:25" x14ac:dyDescent="0.2">
      <c r="A11" t="s">
        <v>32</v>
      </c>
      <c r="B11">
        <v>10</v>
      </c>
      <c r="C11">
        <v>10</v>
      </c>
      <c r="D11">
        <v>20</v>
      </c>
      <c r="E11">
        <v>41</v>
      </c>
      <c r="F11">
        <v>3</v>
      </c>
      <c r="G11">
        <v>10</v>
      </c>
      <c r="H11">
        <v>14</v>
      </c>
      <c r="I11">
        <v>120</v>
      </c>
      <c r="J11">
        <v>134</v>
      </c>
      <c r="K11">
        <v>21</v>
      </c>
      <c r="L11">
        <v>105000</v>
      </c>
      <c r="M11">
        <v>3075000</v>
      </c>
      <c r="N11">
        <v>9.7350650267323093</v>
      </c>
      <c r="O11">
        <v>0</v>
      </c>
      <c r="P11">
        <v>9.7350650267323005</v>
      </c>
      <c r="Q11">
        <v>300000</v>
      </c>
      <c r="R11">
        <v>100000</v>
      </c>
      <c r="S11">
        <v>2</v>
      </c>
      <c r="T11">
        <v>2</v>
      </c>
      <c r="U11">
        <v>10</v>
      </c>
      <c r="V11">
        <v>6</v>
      </c>
      <c r="W11">
        <v>0.3</v>
      </c>
      <c r="X11">
        <v>1.6150951385497998E-2</v>
      </c>
      <c r="Y11" s="2">
        <f>(N11-'[1]MM-roma5'!S11)/'[1]MM-roma5'!S11</f>
        <v>9.123497555087762E-16</v>
      </c>
    </row>
    <row r="12" spans="1:25" x14ac:dyDescent="0.2">
      <c r="A12" t="s">
        <v>33</v>
      </c>
      <c r="B12">
        <v>20</v>
      </c>
      <c r="C12">
        <v>20</v>
      </c>
      <c r="D12">
        <v>40</v>
      </c>
      <c r="E12">
        <v>41</v>
      </c>
      <c r="F12">
        <v>3</v>
      </c>
      <c r="G12">
        <v>20</v>
      </c>
      <c r="H12">
        <v>30</v>
      </c>
      <c r="I12">
        <v>120</v>
      </c>
      <c r="J12">
        <v>150</v>
      </c>
      <c r="K12">
        <v>36</v>
      </c>
      <c r="L12">
        <v>105000</v>
      </c>
      <c r="M12">
        <v>3075000</v>
      </c>
      <c r="N12">
        <v>18.384401701466999</v>
      </c>
      <c r="O12">
        <v>0</v>
      </c>
      <c r="P12">
        <v>18.384401701466999</v>
      </c>
      <c r="Q12">
        <v>450000</v>
      </c>
      <c r="R12">
        <v>100000</v>
      </c>
      <c r="S12">
        <v>3</v>
      </c>
      <c r="T12">
        <v>2</v>
      </c>
      <c r="U12">
        <v>20</v>
      </c>
      <c r="V12">
        <v>9</v>
      </c>
      <c r="W12">
        <v>0.25</v>
      </c>
      <c r="X12">
        <v>2.83629894256591E-2</v>
      </c>
      <c r="Y12" s="2">
        <f>(N12-'[1]MM-roma5'!S12)/'[1]MM-roma5'!S12</f>
        <v>0</v>
      </c>
    </row>
    <row r="13" spans="1:25" x14ac:dyDescent="0.2">
      <c r="A13" t="s">
        <v>34</v>
      </c>
      <c r="B13">
        <v>20</v>
      </c>
      <c r="C13">
        <v>20</v>
      </c>
      <c r="D13">
        <v>40</v>
      </c>
      <c r="E13">
        <v>41</v>
      </c>
      <c r="F13">
        <v>3</v>
      </c>
      <c r="G13">
        <v>20</v>
      </c>
      <c r="H13">
        <v>34</v>
      </c>
      <c r="I13">
        <v>120</v>
      </c>
      <c r="J13">
        <v>154</v>
      </c>
      <c r="K13">
        <v>31</v>
      </c>
      <c r="L13">
        <v>105000</v>
      </c>
      <c r="M13">
        <v>3075000</v>
      </c>
      <c r="N13">
        <v>18.420736431439899</v>
      </c>
      <c r="O13">
        <v>0</v>
      </c>
      <c r="P13">
        <v>18.420736431439899</v>
      </c>
      <c r="Q13">
        <v>1200000</v>
      </c>
      <c r="R13">
        <v>100000</v>
      </c>
      <c r="S13">
        <v>8</v>
      </c>
      <c r="T13">
        <v>2</v>
      </c>
      <c r="U13">
        <v>20</v>
      </c>
      <c r="V13">
        <v>5</v>
      </c>
      <c r="W13">
        <v>0.6</v>
      </c>
      <c r="X13">
        <v>2.8835058212280201E-2</v>
      </c>
      <c r="Y13" s="2">
        <f>(N13-'[1]MM-roma5'!S13)/'[1]MM-roma5'!S13</f>
        <v>0</v>
      </c>
    </row>
    <row r="14" spans="1:25" x14ac:dyDescent="0.2">
      <c r="A14" t="s">
        <v>35</v>
      </c>
      <c r="B14">
        <v>20</v>
      </c>
      <c r="C14">
        <v>20</v>
      </c>
      <c r="D14">
        <v>40</v>
      </c>
      <c r="E14">
        <v>41</v>
      </c>
      <c r="F14">
        <v>3</v>
      </c>
      <c r="G14">
        <v>20</v>
      </c>
      <c r="H14">
        <v>31</v>
      </c>
      <c r="I14">
        <v>120</v>
      </c>
      <c r="J14">
        <v>151</v>
      </c>
      <c r="K14">
        <v>43</v>
      </c>
      <c r="L14">
        <v>105000</v>
      </c>
      <c r="M14">
        <v>3075000</v>
      </c>
      <c r="N14">
        <v>32.120677785006897</v>
      </c>
      <c r="O14">
        <v>0</v>
      </c>
      <c r="P14">
        <v>32.120677785006897</v>
      </c>
      <c r="Q14">
        <v>1500000</v>
      </c>
      <c r="R14">
        <v>100000</v>
      </c>
      <c r="S14">
        <v>10</v>
      </c>
      <c r="T14">
        <v>2</v>
      </c>
      <c r="U14">
        <v>20</v>
      </c>
      <c r="V14">
        <v>11</v>
      </c>
      <c r="W14">
        <v>0.7</v>
      </c>
      <c r="X14">
        <v>0.125914096832275</v>
      </c>
      <c r="Y14" s="2">
        <f>(N14-'[1]MM-roma5'!S14)/'[1]MM-roma5'!S14</f>
        <v>0</v>
      </c>
    </row>
    <row r="15" spans="1:25" x14ac:dyDescent="0.2">
      <c r="A15" t="s">
        <v>36</v>
      </c>
      <c r="B15">
        <v>20</v>
      </c>
      <c r="C15">
        <v>20</v>
      </c>
      <c r="D15">
        <v>40</v>
      </c>
      <c r="E15">
        <v>41</v>
      </c>
      <c r="F15">
        <v>3</v>
      </c>
      <c r="G15">
        <v>20</v>
      </c>
      <c r="H15">
        <v>30</v>
      </c>
      <c r="I15">
        <v>120</v>
      </c>
      <c r="J15">
        <v>150</v>
      </c>
      <c r="K15">
        <v>35</v>
      </c>
      <c r="L15">
        <v>105000</v>
      </c>
      <c r="M15">
        <v>3075000</v>
      </c>
      <c r="N15">
        <v>18.618623334082798</v>
      </c>
      <c r="O15">
        <v>0</v>
      </c>
      <c r="P15">
        <v>18.618623334082798</v>
      </c>
      <c r="Q15">
        <v>1200000</v>
      </c>
      <c r="R15">
        <v>100000</v>
      </c>
      <c r="S15">
        <v>8</v>
      </c>
      <c r="T15">
        <v>2</v>
      </c>
      <c r="U15">
        <v>20</v>
      </c>
      <c r="V15">
        <v>5</v>
      </c>
      <c r="W15">
        <v>0.5</v>
      </c>
      <c r="X15">
        <v>2.2439002990722601E-2</v>
      </c>
      <c r="Y15" s="2">
        <f>(N15-'[1]MM-roma5'!S15)/'[1]MM-roma5'!S15</f>
        <v>0</v>
      </c>
    </row>
    <row r="16" spans="1:25" x14ac:dyDescent="0.2">
      <c r="A16" t="s">
        <v>37</v>
      </c>
      <c r="B16">
        <v>20</v>
      </c>
      <c r="C16">
        <v>20</v>
      </c>
      <c r="D16">
        <v>40</v>
      </c>
      <c r="E16">
        <v>41</v>
      </c>
      <c r="F16">
        <v>3</v>
      </c>
      <c r="G16">
        <v>20</v>
      </c>
      <c r="H16">
        <v>26</v>
      </c>
      <c r="I16">
        <v>120</v>
      </c>
      <c r="J16">
        <v>146</v>
      </c>
      <c r="K16">
        <v>41</v>
      </c>
      <c r="L16">
        <v>105000</v>
      </c>
      <c r="M16">
        <v>3075000</v>
      </c>
      <c r="N16">
        <v>25.869340638354199</v>
      </c>
      <c r="O16">
        <v>0</v>
      </c>
      <c r="P16">
        <v>25.869340638354199</v>
      </c>
      <c r="Q16">
        <v>1050000</v>
      </c>
      <c r="R16">
        <v>100000</v>
      </c>
      <c r="S16">
        <v>7</v>
      </c>
      <c r="T16">
        <v>2</v>
      </c>
      <c r="U16">
        <v>20</v>
      </c>
      <c r="V16">
        <v>13</v>
      </c>
      <c r="W16">
        <v>0.5</v>
      </c>
      <c r="X16">
        <v>5.5266141891479402E-2</v>
      </c>
      <c r="Y16" s="2">
        <f>(N16-'[1]MM-roma5'!S16)/'[1]MM-roma5'!S16</f>
        <v>0</v>
      </c>
    </row>
    <row r="17" spans="1:25" x14ac:dyDescent="0.2">
      <c r="A17" t="s">
        <v>38</v>
      </c>
      <c r="B17">
        <v>20</v>
      </c>
      <c r="C17">
        <v>20</v>
      </c>
      <c r="D17">
        <v>40</v>
      </c>
      <c r="E17">
        <v>41</v>
      </c>
      <c r="F17">
        <v>3</v>
      </c>
      <c r="G17">
        <v>20</v>
      </c>
      <c r="H17">
        <v>32</v>
      </c>
      <c r="I17">
        <v>120</v>
      </c>
      <c r="J17">
        <v>152</v>
      </c>
      <c r="K17">
        <v>40</v>
      </c>
      <c r="L17">
        <v>105000</v>
      </c>
      <c r="M17">
        <v>3075000</v>
      </c>
      <c r="N17">
        <v>25.3895790155564</v>
      </c>
      <c r="O17">
        <v>0</v>
      </c>
      <c r="P17">
        <v>25.3895790155564</v>
      </c>
      <c r="Q17">
        <v>1200000</v>
      </c>
      <c r="R17">
        <v>100000</v>
      </c>
      <c r="S17">
        <v>8</v>
      </c>
      <c r="T17">
        <v>2</v>
      </c>
      <c r="U17">
        <v>20</v>
      </c>
      <c r="V17">
        <v>10</v>
      </c>
      <c r="W17">
        <v>0.6</v>
      </c>
      <c r="X17">
        <v>5.6864023208618102E-2</v>
      </c>
      <c r="Y17" s="2">
        <f>(N17-'[1]MM-roma5'!S17)/'[1]MM-roma5'!S17</f>
        <v>0</v>
      </c>
    </row>
    <row r="18" spans="1:25" x14ac:dyDescent="0.2">
      <c r="A18" t="s">
        <v>39</v>
      </c>
      <c r="B18">
        <v>20</v>
      </c>
      <c r="C18">
        <v>20</v>
      </c>
      <c r="D18">
        <v>40</v>
      </c>
      <c r="E18">
        <v>41</v>
      </c>
      <c r="F18">
        <v>3</v>
      </c>
      <c r="G18">
        <v>20</v>
      </c>
      <c r="H18">
        <v>29</v>
      </c>
      <c r="I18">
        <v>120</v>
      </c>
      <c r="J18">
        <v>149</v>
      </c>
      <c r="K18">
        <v>40</v>
      </c>
      <c r="L18">
        <v>105000</v>
      </c>
      <c r="M18">
        <v>3075000</v>
      </c>
      <c r="N18">
        <v>20.220438934522399</v>
      </c>
      <c r="O18">
        <v>0</v>
      </c>
      <c r="P18">
        <v>20.220438934522399</v>
      </c>
      <c r="Q18">
        <v>900000</v>
      </c>
      <c r="R18">
        <v>100000</v>
      </c>
      <c r="S18">
        <v>6</v>
      </c>
      <c r="T18">
        <v>2</v>
      </c>
      <c r="U18">
        <v>20</v>
      </c>
      <c r="V18">
        <v>8</v>
      </c>
      <c r="W18">
        <v>0.4</v>
      </c>
      <c r="X18">
        <v>5.5666923522949198E-2</v>
      </c>
      <c r="Y18" s="2">
        <f>(N18-'[1]MM-roma5'!S18)/'[1]MM-roma5'!S18</f>
        <v>0</v>
      </c>
    </row>
    <row r="19" spans="1:25" x14ac:dyDescent="0.2">
      <c r="A19" t="s">
        <v>40</v>
      </c>
      <c r="B19">
        <v>20</v>
      </c>
      <c r="C19">
        <v>20</v>
      </c>
      <c r="D19">
        <v>40</v>
      </c>
      <c r="E19">
        <v>41</v>
      </c>
      <c r="F19">
        <v>3</v>
      </c>
      <c r="G19">
        <v>20</v>
      </c>
      <c r="H19">
        <v>25</v>
      </c>
      <c r="I19">
        <v>120</v>
      </c>
      <c r="J19">
        <v>145</v>
      </c>
      <c r="K19">
        <v>38</v>
      </c>
      <c r="L19">
        <v>105000</v>
      </c>
      <c r="M19">
        <v>3075000</v>
      </c>
      <c r="N19">
        <v>29.149228041303001</v>
      </c>
      <c r="O19">
        <v>0</v>
      </c>
      <c r="P19">
        <v>29.149228041303001</v>
      </c>
      <c r="Q19">
        <v>1050000</v>
      </c>
      <c r="R19">
        <v>100000</v>
      </c>
      <c r="S19">
        <v>7</v>
      </c>
      <c r="T19">
        <v>2</v>
      </c>
      <c r="U19">
        <v>20</v>
      </c>
      <c r="V19">
        <v>9</v>
      </c>
      <c r="W19">
        <v>0.5</v>
      </c>
      <c r="X19">
        <v>6.05301856994628E-2</v>
      </c>
      <c r="Y19" s="2">
        <f>(N19-'[1]MM-roma5'!S19)/'[1]MM-roma5'!S19</f>
        <v>0</v>
      </c>
    </row>
    <row r="20" spans="1:25" x14ac:dyDescent="0.2">
      <c r="A20" t="s">
        <v>41</v>
      </c>
      <c r="B20">
        <v>20</v>
      </c>
      <c r="C20">
        <v>20</v>
      </c>
      <c r="D20">
        <v>40</v>
      </c>
      <c r="E20">
        <v>41</v>
      </c>
      <c r="F20">
        <v>3</v>
      </c>
      <c r="G20">
        <v>20</v>
      </c>
      <c r="H20">
        <v>29</v>
      </c>
      <c r="I20">
        <v>120</v>
      </c>
      <c r="J20">
        <v>149</v>
      </c>
      <c r="K20">
        <v>37</v>
      </c>
      <c r="L20">
        <v>105000</v>
      </c>
      <c r="M20">
        <v>3075000</v>
      </c>
      <c r="N20">
        <v>24.136609094884399</v>
      </c>
      <c r="O20">
        <v>0</v>
      </c>
      <c r="P20">
        <v>24.136609094884399</v>
      </c>
      <c r="Q20">
        <v>900000</v>
      </c>
      <c r="R20">
        <v>100000</v>
      </c>
      <c r="S20">
        <v>6</v>
      </c>
      <c r="T20">
        <v>2</v>
      </c>
      <c r="U20">
        <v>20</v>
      </c>
      <c r="V20">
        <v>12</v>
      </c>
      <c r="W20">
        <v>0.45</v>
      </c>
      <c r="X20">
        <v>5.4704189300537102E-2</v>
      </c>
      <c r="Y20" s="2">
        <f>(N20-'[1]MM-roma5'!S20)/'[1]MM-roma5'!S20</f>
        <v>0</v>
      </c>
    </row>
    <row r="21" spans="1:25" x14ac:dyDescent="0.2">
      <c r="A21" t="s">
        <v>42</v>
      </c>
      <c r="B21">
        <v>20</v>
      </c>
      <c r="C21">
        <v>20</v>
      </c>
      <c r="D21">
        <v>40</v>
      </c>
      <c r="E21">
        <v>41</v>
      </c>
      <c r="F21">
        <v>3</v>
      </c>
      <c r="G21">
        <v>20</v>
      </c>
      <c r="H21">
        <v>35</v>
      </c>
      <c r="I21">
        <v>120</v>
      </c>
      <c r="J21">
        <v>155</v>
      </c>
      <c r="K21">
        <v>34</v>
      </c>
      <c r="L21">
        <v>105000</v>
      </c>
      <c r="M21">
        <v>3075000</v>
      </c>
      <c r="N21">
        <v>23.385736204396999</v>
      </c>
      <c r="O21">
        <v>0</v>
      </c>
      <c r="P21">
        <v>23.385736204396999</v>
      </c>
      <c r="Q21">
        <v>1200000</v>
      </c>
      <c r="R21">
        <v>100000</v>
      </c>
      <c r="S21">
        <v>8</v>
      </c>
      <c r="T21">
        <v>2</v>
      </c>
      <c r="U21">
        <v>20</v>
      </c>
      <c r="V21">
        <v>6</v>
      </c>
      <c r="W21">
        <v>0.75</v>
      </c>
      <c r="X21">
        <v>3.6074876785278299E-2</v>
      </c>
      <c r="Y21" s="2">
        <f>(N21-'[1]MM-roma5'!S21)/'[1]MM-roma5'!S21</f>
        <v>0</v>
      </c>
    </row>
    <row r="22" spans="1:25" x14ac:dyDescent="0.2">
      <c r="A22" t="s">
        <v>43</v>
      </c>
      <c r="B22">
        <v>30</v>
      </c>
      <c r="C22">
        <v>30</v>
      </c>
      <c r="D22">
        <v>60</v>
      </c>
      <c r="E22">
        <v>41</v>
      </c>
      <c r="F22">
        <v>3</v>
      </c>
      <c r="G22">
        <v>30</v>
      </c>
      <c r="H22">
        <v>43</v>
      </c>
      <c r="I22">
        <v>120</v>
      </c>
      <c r="J22">
        <v>163</v>
      </c>
      <c r="K22">
        <v>58</v>
      </c>
      <c r="L22">
        <v>105000</v>
      </c>
      <c r="M22">
        <v>3075000</v>
      </c>
      <c r="N22">
        <v>34.0050005331249</v>
      </c>
      <c r="O22">
        <v>0</v>
      </c>
      <c r="P22">
        <v>34.0050005331249</v>
      </c>
      <c r="Q22">
        <v>1350000</v>
      </c>
      <c r="R22">
        <v>100000</v>
      </c>
      <c r="S22">
        <v>9</v>
      </c>
      <c r="T22">
        <v>2</v>
      </c>
      <c r="U22">
        <v>30</v>
      </c>
      <c r="V22">
        <v>17</v>
      </c>
      <c r="W22">
        <v>0.43</v>
      </c>
      <c r="X22">
        <v>0.11458396911620999</v>
      </c>
      <c r="Y22" s="2">
        <f>(N22-'[1]MM-roma5'!S22)/'[1]MM-roma5'!S22</f>
        <v>0</v>
      </c>
    </row>
    <row r="23" spans="1:25" x14ac:dyDescent="0.2">
      <c r="A23" t="s">
        <v>44</v>
      </c>
      <c r="B23">
        <v>30</v>
      </c>
      <c r="C23">
        <v>30</v>
      </c>
      <c r="D23">
        <v>60</v>
      </c>
      <c r="E23">
        <v>41</v>
      </c>
      <c r="F23">
        <v>3</v>
      </c>
      <c r="G23">
        <v>30</v>
      </c>
      <c r="H23">
        <v>42</v>
      </c>
      <c r="I23">
        <v>120</v>
      </c>
      <c r="J23">
        <v>162</v>
      </c>
      <c r="K23">
        <v>64</v>
      </c>
      <c r="L23">
        <v>105000</v>
      </c>
      <c r="M23">
        <v>3075000</v>
      </c>
      <c r="N23">
        <v>43.338289367497701</v>
      </c>
      <c r="O23">
        <v>0</v>
      </c>
      <c r="P23">
        <v>43.338289367497701</v>
      </c>
      <c r="Q23">
        <v>1500000</v>
      </c>
      <c r="R23">
        <v>100000</v>
      </c>
      <c r="S23">
        <v>10</v>
      </c>
      <c r="T23">
        <v>2</v>
      </c>
      <c r="U23">
        <v>30</v>
      </c>
      <c r="V23">
        <v>16</v>
      </c>
      <c r="W23">
        <v>0.53</v>
      </c>
      <c r="X23">
        <v>8.44900608062744E-2</v>
      </c>
      <c r="Y23" s="2">
        <f>(N23-'[1]MM-roma5'!S23)/'[1]MM-roma5'!S23</f>
        <v>0</v>
      </c>
    </row>
    <row r="24" spans="1:25" x14ac:dyDescent="0.2">
      <c r="A24" t="s">
        <v>45</v>
      </c>
      <c r="B24">
        <v>30</v>
      </c>
      <c r="C24">
        <v>30</v>
      </c>
      <c r="D24">
        <v>60</v>
      </c>
      <c r="E24">
        <v>41</v>
      </c>
      <c r="F24">
        <v>3</v>
      </c>
      <c r="G24">
        <v>30</v>
      </c>
      <c r="H24">
        <v>52</v>
      </c>
      <c r="I24">
        <v>120</v>
      </c>
      <c r="J24">
        <v>172</v>
      </c>
      <c r="K24">
        <v>47</v>
      </c>
      <c r="L24">
        <v>105000</v>
      </c>
      <c r="M24">
        <v>3075000</v>
      </c>
      <c r="N24">
        <v>25.536833953888902</v>
      </c>
      <c r="O24">
        <v>0</v>
      </c>
      <c r="P24">
        <v>25.536833953888902</v>
      </c>
      <c r="Q24">
        <v>1500000</v>
      </c>
      <c r="R24">
        <v>100000</v>
      </c>
      <c r="S24">
        <v>10</v>
      </c>
      <c r="T24">
        <v>2</v>
      </c>
      <c r="U24">
        <v>30</v>
      </c>
      <c r="V24">
        <v>4</v>
      </c>
      <c r="W24">
        <v>0.67</v>
      </c>
      <c r="X24">
        <v>3.7769079208374003E-2</v>
      </c>
      <c r="Y24" s="2">
        <f>(N24-'[1]MM-roma5'!S24)/'[1]MM-roma5'!S24</f>
        <v>0</v>
      </c>
    </row>
    <row r="25" spans="1:25" x14ac:dyDescent="0.2">
      <c r="A25" t="s">
        <v>46</v>
      </c>
      <c r="B25">
        <v>30</v>
      </c>
      <c r="C25">
        <v>30</v>
      </c>
      <c r="D25">
        <v>60</v>
      </c>
      <c r="E25">
        <v>41</v>
      </c>
      <c r="F25">
        <v>3</v>
      </c>
      <c r="G25">
        <v>30</v>
      </c>
      <c r="H25">
        <v>51</v>
      </c>
      <c r="I25">
        <v>120</v>
      </c>
      <c r="J25">
        <v>171</v>
      </c>
      <c r="K25">
        <v>59</v>
      </c>
      <c r="L25">
        <v>105000</v>
      </c>
      <c r="M25">
        <v>3075000</v>
      </c>
      <c r="N25">
        <v>35.741945260230501</v>
      </c>
      <c r="O25" s="1">
        <v>2.8769660931163401E-5</v>
      </c>
      <c r="P25">
        <v>35.740916976584302</v>
      </c>
      <c r="Q25">
        <v>1800000</v>
      </c>
      <c r="R25">
        <v>100000</v>
      </c>
      <c r="S25">
        <v>12</v>
      </c>
      <c r="T25">
        <v>2</v>
      </c>
      <c r="U25">
        <v>30</v>
      </c>
      <c r="V25">
        <v>11</v>
      </c>
      <c r="W25">
        <v>0.5</v>
      </c>
      <c r="X25">
        <v>7.7831983566284096E-2</v>
      </c>
      <c r="Y25" s="2">
        <f>(N25-'[1]MM-roma5'!S25)/'[1]MM-roma5'!S25</f>
        <v>0</v>
      </c>
    </row>
    <row r="26" spans="1:25" x14ac:dyDescent="0.2">
      <c r="A26" t="s">
        <v>47</v>
      </c>
      <c r="B26">
        <v>30</v>
      </c>
      <c r="C26">
        <v>30</v>
      </c>
      <c r="D26">
        <v>60</v>
      </c>
      <c r="E26">
        <v>41</v>
      </c>
      <c r="F26">
        <v>3</v>
      </c>
      <c r="G26">
        <v>30</v>
      </c>
      <c r="H26">
        <v>40</v>
      </c>
      <c r="I26">
        <v>120</v>
      </c>
      <c r="J26">
        <v>160</v>
      </c>
      <c r="K26">
        <v>59</v>
      </c>
      <c r="L26">
        <v>105000</v>
      </c>
      <c r="M26">
        <v>3075000</v>
      </c>
      <c r="N26">
        <v>36.420871516475799</v>
      </c>
      <c r="O26">
        <v>0</v>
      </c>
      <c r="P26">
        <v>36.420871516475799</v>
      </c>
      <c r="Q26">
        <v>1650000</v>
      </c>
      <c r="R26">
        <v>100000</v>
      </c>
      <c r="S26">
        <v>11</v>
      </c>
      <c r="T26">
        <v>2</v>
      </c>
      <c r="U26">
        <v>30</v>
      </c>
      <c r="V26">
        <v>14</v>
      </c>
      <c r="W26">
        <v>0.5</v>
      </c>
      <c r="X26">
        <v>5.2213191986083901E-2</v>
      </c>
      <c r="Y26" s="2">
        <f>(N26-'[1]MM-roma5'!S26)/'[1]MM-roma5'!S26</f>
        <v>0</v>
      </c>
    </row>
    <row r="27" spans="1:25" x14ac:dyDescent="0.2">
      <c r="A27" t="s">
        <v>48</v>
      </c>
      <c r="B27">
        <v>30</v>
      </c>
      <c r="C27">
        <v>30</v>
      </c>
      <c r="D27">
        <v>60</v>
      </c>
      <c r="E27">
        <v>41</v>
      </c>
      <c r="F27">
        <v>3</v>
      </c>
      <c r="G27">
        <v>30</v>
      </c>
      <c r="H27">
        <v>33</v>
      </c>
      <c r="I27">
        <v>120</v>
      </c>
      <c r="J27">
        <v>153</v>
      </c>
      <c r="K27">
        <v>60</v>
      </c>
      <c r="L27">
        <v>105000</v>
      </c>
      <c r="M27">
        <v>3075000</v>
      </c>
      <c r="N27">
        <v>35.0345546692919</v>
      </c>
      <c r="O27">
        <v>0</v>
      </c>
      <c r="P27">
        <v>35.0345546692919</v>
      </c>
      <c r="Q27">
        <v>1050000</v>
      </c>
      <c r="R27">
        <v>100000</v>
      </c>
      <c r="S27">
        <v>7</v>
      </c>
      <c r="T27">
        <v>2</v>
      </c>
      <c r="U27">
        <v>30</v>
      </c>
      <c r="V27">
        <v>21</v>
      </c>
      <c r="W27">
        <v>0.33</v>
      </c>
      <c r="X27">
        <v>0.107384204864501</v>
      </c>
      <c r="Y27" s="2">
        <f>(N27-'[1]MM-roma5'!S27)/'[1]MM-roma5'!S27</f>
        <v>0</v>
      </c>
    </row>
    <row r="28" spans="1:25" x14ac:dyDescent="0.2">
      <c r="A28" t="s">
        <v>49</v>
      </c>
      <c r="B28">
        <v>30</v>
      </c>
      <c r="C28">
        <v>30</v>
      </c>
      <c r="D28">
        <v>60</v>
      </c>
      <c r="E28">
        <v>41</v>
      </c>
      <c r="F28">
        <v>3</v>
      </c>
      <c r="G28">
        <v>30</v>
      </c>
      <c r="H28">
        <v>52</v>
      </c>
      <c r="I28">
        <v>120</v>
      </c>
      <c r="J28">
        <v>172</v>
      </c>
      <c r="K28">
        <v>58</v>
      </c>
      <c r="L28">
        <v>105000</v>
      </c>
      <c r="M28">
        <v>3075000</v>
      </c>
      <c r="N28">
        <v>37.114686834597698</v>
      </c>
      <c r="O28">
        <v>0</v>
      </c>
      <c r="P28">
        <v>37.114686834597698</v>
      </c>
      <c r="Q28">
        <v>1500000</v>
      </c>
      <c r="R28">
        <v>100000</v>
      </c>
      <c r="S28">
        <v>10</v>
      </c>
      <c r="T28">
        <v>2</v>
      </c>
      <c r="U28">
        <v>30</v>
      </c>
      <c r="V28">
        <v>11</v>
      </c>
      <c r="W28">
        <v>0.53</v>
      </c>
      <c r="X28">
        <v>6.7056894302368095E-2</v>
      </c>
      <c r="Y28" s="2">
        <f>(N28-'[1]MM-roma5'!S28)/'[1]MM-roma5'!S28</f>
        <v>0</v>
      </c>
    </row>
    <row r="29" spans="1:25" x14ac:dyDescent="0.2">
      <c r="A29" t="s">
        <v>50</v>
      </c>
      <c r="B29">
        <v>30</v>
      </c>
      <c r="C29">
        <v>30</v>
      </c>
      <c r="D29">
        <v>60</v>
      </c>
      <c r="E29">
        <v>41</v>
      </c>
      <c r="F29">
        <v>3</v>
      </c>
      <c r="G29">
        <v>30</v>
      </c>
      <c r="H29">
        <v>47</v>
      </c>
      <c r="I29">
        <v>120</v>
      </c>
      <c r="J29">
        <v>167</v>
      </c>
      <c r="K29">
        <v>59</v>
      </c>
      <c r="L29">
        <v>105000</v>
      </c>
      <c r="M29">
        <v>3075000</v>
      </c>
      <c r="N29">
        <v>35.652133408131697</v>
      </c>
      <c r="O29">
        <v>0</v>
      </c>
      <c r="P29">
        <v>35.652133408131697</v>
      </c>
      <c r="Q29">
        <v>1500000</v>
      </c>
      <c r="R29">
        <v>100000</v>
      </c>
      <c r="S29">
        <v>10</v>
      </c>
      <c r="T29">
        <v>2</v>
      </c>
      <c r="U29">
        <v>30</v>
      </c>
      <c r="V29">
        <v>13</v>
      </c>
      <c r="W29">
        <v>0.53</v>
      </c>
      <c r="X29">
        <v>7.6153039932250893E-2</v>
      </c>
      <c r="Y29" s="2">
        <f>(N29-'[1]MM-roma5'!S29)/'[1]MM-roma5'!S29</f>
        <v>0</v>
      </c>
    </row>
    <row r="30" spans="1:25" x14ac:dyDescent="0.2">
      <c r="A30" t="s">
        <v>51</v>
      </c>
      <c r="B30">
        <v>30</v>
      </c>
      <c r="C30">
        <v>30</v>
      </c>
      <c r="D30">
        <v>60</v>
      </c>
      <c r="E30">
        <v>41</v>
      </c>
      <c r="F30">
        <v>3</v>
      </c>
      <c r="G30">
        <v>30</v>
      </c>
      <c r="H30">
        <v>42</v>
      </c>
      <c r="I30">
        <v>120</v>
      </c>
      <c r="J30">
        <v>162</v>
      </c>
      <c r="K30">
        <v>61</v>
      </c>
      <c r="L30">
        <v>105000</v>
      </c>
      <c r="M30">
        <v>3075000</v>
      </c>
      <c r="N30">
        <v>38.346424301624097</v>
      </c>
      <c r="O30">
        <v>0</v>
      </c>
      <c r="P30">
        <v>38.346424301624097</v>
      </c>
      <c r="Q30">
        <v>1500000</v>
      </c>
      <c r="R30">
        <v>100000</v>
      </c>
      <c r="S30">
        <v>10</v>
      </c>
      <c r="T30">
        <v>2</v>
      </c>
      <c r="U30">
        <v>30</v>
      </c>
      <c r="V30">
        <v>15</v>
      </c>
      <c r="W30">
        <v>0.5</v>
      </c>
      <c r="X30">
        <v>0.103295087814331</v>
      </c>
      <c r="Y30" s="2">
        <f>(N30-'[1]MM-roma5'!S30)/'[1]MM-roma5'!S30</f>
        <v>0</v>
      </c>
    </row>
    <row r="31" spans="1:25" x14ac:dyDescent="0.2">
      <c r="A31" t="s">
        <v>52</v>
      </c>
      <c r="B31">
        <v>30</v>
      </c>
      <c r="C31">
        <v>30</v>
      </c>
      <c r="D31">
        <v>60</v>
      </c>
      <c r="E31">
        <v>41</v>
      </c>
      <c r="F31">
        <v>3</v>
      </c>
      <c r="G31">
        <v>30</v>
      </c>
      <c r="H31">
        <v>40</v>
      </c>
      <c r="I31">
        <v>120</v>
      </c>
      <c r="J31">
        <v>160</v>
      </c>
      <c r="K31">
        <v>56</v>
      </c>
      <c r="L31">
        <v>105000</v>
      </c>
      <c r="M31">
        <v>3075000</v>
      </c>
      <c r="N31">
        <v>34.178202019030302</v>
      </c>
      <c r="O31">
        <v>0</v>
      </c>
      <c r="P31">
        <v>34.178202019030302</v>
      </c>
      <c r="Q31">
        <v>1050000</v>
      </c>
      <c r="R31">
        <v>100000</v>
      </c>
      <c r="S31">
        <v>7</v>
      </c>
      <c r="T31">
        <v>2</v>
      </c>
      <c r="U31">
        <v>30</v>
      </c>
      <c r="V31">
        <v>15</v>
      </c>
      <c r="W31">
        <v>0.53</v>
      </c>
      <c r="X31">
        <v>7.4761867523193304E-2</v>
      </c>
      <c r="Y31" s="2">
        <f>(N31-'[1]MM-roma5'!S31)/'[1]MM-roma5'!S31</f>
        <v>0</v>
      </c>
    </row>
    <row r="32" spans="1:25" x14ac:dyDescent="0.2">
      <c r="A32" t="s">
        <v>53</v>
      </c>
      <c r="B32">
        <v>40</v>
      </c>
      <c r="C32">
        <v>40</v>
      </c>
      <c r="D32">
        <v>80</v>
      </c>
      <c r="E32">
        <v>41</v>
      </c>
      <c r="F32">
        <v>3</v>
      </c>
      <c r="G32">
        <v>40</v>
      </c>
      <c r="H32">
        <v>49</v>
      </c>
      <c r="I32">
        <v>120</v>
      </c>
      <c r="J32">
        <v>169</v>
      </c>
      <c r="K32">
        <v>81</v>
      </c>
      <c r="L32">
        <v>105000</v>
      </c>
      <c r="M32">
        <v>3075000</v>
      </c>
      <c r="N32">
        <v>55.166126688926198</v>
      </c>
      <c r="O32">
        <v>0</v>
      </c>
      <c r="P32">
        <v>55.166126688926198</v>
      </c>
      <c r="Q32">
        <v>1650000</v>
      </c>
      <c r="R32">
        <v>100000</v>
      </c>
      <c r="S32">
        <v>11</v>
      </c>
      <c r="T32">
        <v>2</v>
      </c>
      <c r="U32">
        <v>40</v>
      </c>
      <c r="V32">
        <v>24</v>
      </c>
      <c r="W32">
        <v>0.53</v>
      </c>
      <c r="X32">
        <v>0.16227698326110801</v>
      </c>
      <c r="Y32" s="2">
        <f>(N32-'[1]MM-roma5'!S32)/'[1]MM-roma5'!S32</f>
        <v>0</v>
      </c>
    </row>
    <row r="33" spans="1:25" x14ac:dyDescent="0.2">
      <c r="A33" t="s">
        <v>54</v>
      </c>
      <c r="B33">
        <v>40</v>
      </c>
      <c r="C33">
        <v>40</v>
      </c>
      <c r="D33">
        <v>80</v>
      </c>
      <c r="E33">
        <v>41</v>
      </c>
      <c r="F33">
        <v>3</v>
      </c>
      <c r="G33">
        <v>40</v>
      </c>
      <c r="H33">
        <v>53</v>
      </c>
      <c r="I33">
        <v>120</v>
      </c>
      <c r="J33">
        <v>173</v>
      </c>
      <c r="K33">
        <v>81</v>
      </c>
      <c r="L33">
        <v>105000</v>
      </c>
      <c r="M33">
        <v>3075000</v>
      </c>
      <c r="N33">
        <v>48.316938586479402</v>
      </c>
      <c r="O33">
        <v>0</v>
      </c>
      <c r="P33">
        <v>48.316938586479402</v>
      </c>
      <c r="Q33">
        <v>1800000</v>
      </c>
      <c r="R33">
        <v>100000</v>
      </c>
      <c r="S33">
        <v>12</v>
      </c>
      <c r="T33">
        <v>2</v>
      </c>
      <c r="U33">
        <v>40</v>
      </c>
      <c r="V33">
        <v>23</v>
      </c>
      <c r="W33">
        <v>0.55000000000000004</v>
      </c>
      <c r="X33">
        <v>0.14893984794616699</v>
      </c>
      <c r="Y33" s="2">
        <f>(N33-'[1]MM-roma5'!S33)/'[1]MM-roma5'!S33</f>
        <v>0</v>
      </c>
    </row>
    <row r="34" spans="1:25" x14ac:dyDescent="0.2">
      <c r="A34" t="s">
        <v>55</v>
      </c>
      <c r="B34">
        <v>40</v>
      </c>
      <c r="C34">
        <v>40</v>
      </c>
      <c r="D34">
        <v>80</v>
      </c>
      <c r="E34">
        <v>41</v>
      </c>
      <c r="F34">
        <v>3</v>
      </c>
      <c r="G34">
        <v>40</v>
      </c>
      <c r="H34">
        <v>68</v>
      </c>
      <c r="I34">
        <v>120</v>
      </c>
      <c r="J34">
        <v>188</v>
      </c>
      <c r="K34">
        <v>68</v>
      </c>
      <c r="L34">
        <v>105000</v>
      </c>
      <c r="M34">
        <v>3075000</v>
      </c>
      <c r="N34">
        <v>40.962540561998402</v>
      </c>
      <c r="O34">
        <v>0</v>
      </c>
      <c r="P34">
        <v>40.962540561998402</v>
      </c>
      <c r="Q34">
        <v>1500000</v>
      </c>
      <c r="R34">
        <v>100000</v>
      </c>
      <c r="S34">
        <v>10</v>
      </c>
      <c r="T34">
        <v>2</v>
      </c>
      <c r="U34">
        <v>40</v>
      </c>
      <c r="V34">
        <v>12</v>
      </c>
      <c r="W34">
        <v>0.55000000000000004</v>
      </c>
      <c r="X34">
        <v>9.7105979919433594E-2</v>
      </c>
      <c r="Y34" s="2">
        <f>(N34-'[1]MM-roma5'!S34)/'[1]MM-roma5'!S34</f>
        <v>2.4284622399300036E-15</v>
      </c>
    </row>
    <row r="35" spans="1:25" x14ac:dyDescent="0.2">
      <c r="A35" t="s">
        <v>56</v>
      </c>
      <c r="B35">
        <v>40</v>
      </c>
      <c r="C35">
        <v>40</v>
      </c>
      <c r="D35">
        <v>80</v>
      </c>
      <c r="E35">
        <v>41</v>
      </c>
      <c r="F35">
        <v>3</v>
      </c>
      <c r="G35">
        <v>40</v>
      </c>
      <c r="H35">
        <v>59</v>
      </c>
      <c r="I35">
        <v>120</v>
      </c>
      <c r="J35">
        <v>179</v>
      </c>
      <c r="K35">
        <v>75</v>
      </c>
      <c r="L35">
        <v>105000</v>
      </c>
      <c r="M35">
        <v>3075000</v>
      </c>
      <c r="N35">
        <v>42.870411943813899</v>
      </c>
      <c r="O35">
        <v>0</v>
      </c>
      <c r="P35">
        <v>42.870411943813899</v>
      </c>
      <c r="Q35">
        <v>1800000</v>
      </c>
      <c r="R35">
        <v>100000</v>
      </c>
      <c r="S35">
        <v>12</v>
      </c>
      <c r="T35">
        <v>2</v>
      </c>
      <c r="U35">
        <v>40</v>
      </c>
      <c r="V35">
        <v>17</v>
      </c>
      <c r="W35">
        <v>0.45</v>
      </c>
      <c r="X35">
        <v>0.10648298263549801</v>
      </c>
      <c r="Y35" s="2">
        <f>(N35-'[1]MM-roma5'!S35)/'[1]MM-roma5'!S35</f>
        <v>0</v>
      </c>
    </row>
    <row r="36" spans="1:25" x14ac:dyDescent="0.2">
      <c r="A36" t="s">
        <v>57</v>
      </c>
      <c r="B36">
        <v>40</v>
      </c>
      <c r="C36">
        <v>40</v>
      </c>
      <c r="D36">
        <v>80</v>
      </c>
      <c r="E36">
        <v>41</v>
      </c>
      <c r="F36">
        <v>3</v>
      </c>
      <c r="G36">
        <v>40</v>
      </c>
      <c r="H36">
        <v>64</v>
      </c>
      <c r="I36">
        <v>120</v>
      </c>
      <c r="J36">
        <v>184</v>
      </c>
      <c r="K36">
        <v>70</v>
      </c>
      <c r="L36">
        <v>105000</v>
      </c>
      <c r="M36">
        <v>3075000</v>
      </c>
      <c r="N36">
        <v>38.195181091642297</v>
      </c>
      <c r="O36">
        <v>0</v>
      </c>
      <c r="P36">
        <v>38.195181091642297</v>
      </c>
      <c r="Q36">
        <v>1500000</v>
      </c>
      <c r="R36">
        <v>100000</v>
      </c>
      <c r="S36">
        <v>10</v>
      </c>
      <c r="T36">
        <v>2</v>
      </c>
      <c r="U36">
        <v>40</v>
      </c>
      <c r="V36">
        <v>14</v>
      </c>
      <c r="W36">
        <v>0.47</v>
      </c>
      <c r="X36">
        <v>7.9424858093261705E-2</v>
      </c>
      <c r="Y36" s="2">
        <f>(N36-'[1]MM-roma5'!S36)/'[1]MM-roma5'!S36</f>
        <v>-2.6044118698570767E-15</v>
      </c>
    </row>
    <row r="37" spans="1:25" x14ac:dyDescent="0.2">
      <c r="A37" t="s">
        <v>58</v>
      </c>
      <c r="B37">
        <v>40</v>
      </c>
      <c r="C37">
        <v>40</v>
      </c>
      <c r="D37">
        <v>80</v>
      </c>
      <c r="E37">
        <v>41</v>
      </c>
      <c r="F37">
        <v>3</v>
      </c>
      <c r="G37">
        <v>40</v>
      </c>
      <c r="H37">
        <v>57</v>
      </c>
      <c r="I37">
        <v>120</v>
      </c>
      <c r="J37">
        <v>177</v>
      </c>
      <c r="K37">
        <v>74</v>
      </c>
      <c r="L37">
        <v>105000</v>
      </c>
      <c r="M37">
        <v>3075000</v>
      </c>
      <c r="N37">
        <v>46.334736795900099</v>
      </c>
      <c r="O37">
        <v>0</v>
      </c>
      <c r="P37">
        <v>46.334736795900099</v>
      </c>
      <c r="Q37">
        <v>1500000</v>
      </c>
      <c r="R37">
        <v>100000</v>
      </c>
      <c r="S37">
        <v>10</v>
      </c>
      <c r="T37">
        <v>2</v>
      </c>
      <c r="U37">
        <v>40</v>
      </c>
      <c r="V37">
        <v>20</v>
      </c>
      <c r="W37">
        <v>0.56999999999999995</v>
      </c>
      <c r="X37">
        <v>0.17156600952148399</v>
      </c>
      <c r="Y37" s="2">
        <f>(N37-'[1]MM-roma5'!S37)/'[1]MM-roma5'!S37</f>
        <v>0</v>
      </c>
    </row>
    <row r="38" spans="1:25" x14ac:dyDescent="0.2">
      <c r="A38" t="s">
        <v>59</v>
      </c>
      <c r="B38">
        <v>40</v>
      </c>
      <c r="C38">
        <v>40</v>
      </c>
      <c r="D38">
        <v>80</v>
      </c>
      <c r="E38">
        <v>41</v>
      </c>
      <c r="F38">
        <v>3</v>
      </c>
      <c r="G38">
        <v>40</v>
      </c>
      <c r="H38">
        <v>64</v>
      </c>
      <c r="I38">
        <v>120</v>
      </c>
      <c r="J38">
        <v>184</v>
      </c>
      <c r="K38">
        <v>81</v>
      </c>
      <c r="L38">
        <v>105000</v>
      </c>
      <c r="M38">
        <v>3075000</v>
      </c>
      <c r="N38">
        <v>46.917507657479597</v>
      </c>
      <c r="O38">
        <v>0</v>
      </c>
      <c r="P38">
        <v>46.917507657479597</v>
      </c>
      <c r="Q38">
        <v>1350000</v>
      </c>
      <c r="R38">
        <v>100000</v>
      </c>
      <c r="S38">
        <v>9</v>
      </c>
      <c r="T38">
        <v>2</v>
      </c>
      <c r="U38">
        <v>40</v>
      </c>
      <c r="V38">
        <v>21</v>
      </c>
      <c r="W38">
        <v>0.35</v>
      </c>
      <c r="X38">
        <v>0.17808079719543399</v>
      </c>
      <c r="Y38" s="2">
        <f>(N38-'[1]MM-roma5'!S38)/'[1]MM-roma5'!S38</f>
        <v>0</v>
      </c>
    </row>
    <row r="39" spans="1:25" x14ac:dyDescent="0.2">
      <c r="A39" t="s">
        <v>60</v>
      </c>
      <c r="B39">
        <v>40</v>
      </c>
      <c r="C39">
        <v>40</v>
      </c>
      <c r="D39">
        <v>80</v>
      </c>
      <c r="E39">
        <v>41</v>
      </c>
      <c r="F39">
        <v>3</v>
      </c>
      <c r="G39">
        <v>40</v>
      </c>
      <c r="H39">
        <v>57</v>
      </c>
      <c r="I39">
        <v>120</v>
      </c>
      <c r="J39">
        <v>177</v>
      </c>
      <c r="K39">
        <v>71</v>
      </c>
      <c r="L39">
        <v>105000</v>
      </c>
      <c r="M39">
        <v>3075000</v>
      </c>
      <c r="N39">
        <v>35.845019127102802</v>
      </c>
      <c r="O39">
        <v>0</v>
      </c>
      <c r="P39">
        <v>35.845019127102802</v>
      </c>
      <c r="Q39">
        <v>1350000</v>
      </c>
      <c r="R39">
        <v>100000</v>
      </c>
      <c r="S39">
        <v>9</v>
      </c>
      <c r="T39">
        <v>2</v>
      </c>
      <c r="U39">
        <v>40</v>
      </c>
      <c r="V39">
        <v>17</v>
      </c>
      <c r="W39">
        <v>0.33</v>
      </c>
      <c r="X39">
        <v>0.128787040710449</v>
      </c>
      <c r="Y39" s="2">
        <f>(N39-'[1]MM-roma5'!S39)/'[1]MM-roma5'!S39</f>
        <v>-2.7751689196672489E-15</v>
      </c>
    </row>
    <row r="40" spans="1:25" x14ac:dyDescent="0.2">
      <c r="A40" t="s">
        <v>61</v>
      </c>
      <c r="B40">
        <v>40</v>
      </c>
      <c r="C40">
        <v>40</v>
      </c>
      <c r="D40">
        <v>80</v>
      </c>
      <c r="E40">
        <v>41</v>
      </c>
      <c r="F40">
        <v>3</v>
      </c>
      <c r="G40">
        <v>40</v>
      </c>
      <c r="H40">
        <v>57</v>
      </c>
      <c r="I40">
        <v>120</v>
      </c>
      <c r="J40">
        <v>177</v>
      </c>
      <c r="K40">
        <v>79</v>
      </c>
      <c r="L40">
        <v>105000</v>
      </c>
      <c r="M40">
        <v>3075000</v>
      </c>
      <c r="N40">
        <v>46.003883159006598</v>
      </c>
      <c r="O40">
        <v>0</v>
      </c>
      <c r="P40">
        <v>46.003883159006598</v>
      </c>
      <c r="Q40">
        <v>1650000</v>
      </c>
      <c r="R40">
        <v>100000</v>
      </c>
      <c r="S40">
        <v>11</v>
      </c>
      <c r="T40">
        <v>2</v>
      </c>
      <c r="U40">
        <v>40</v>
      </c>
      <c r="V40">
        <v>19</v>
      </c>
      <c r="W40">
        <v>0.55000000000000004</v>
      </c>
      <c r="X40">
        <v>0.14154005050659099</v>
      </c>
      <c r="Y40" s="2">
        <f>(N40-'[1]MM-roma5'!S40)/'[1]MM-roma5'!S40</f>
        <v>0</v>
      </c>
    </row>
    <row r="41" spans="1:25" x14ac:dyDescent="0.2">
      <c r="A41" t="s">
        <v>62</v>
      </c>
      <c r="B41">
        <v>40</v>
      </c>
      <c r="C41">
        <v>40</v>
      </c>
      <c r="D41">
        <v>80</v>
      </c>
      <c r="E41">
        <v>41</v>
      </c>
      <c r="F41">
        <v>3</v>
      </c>
      <c r="G41">
        <v>40</v>
      </c>
      <c r="H41">
        <v>58</v>
      </c>
      <c r="I41">
        <v>120</v>
      </c>
      <c r="J41">
        <v>178</v>
      </c>
      <c r="K41">
        <v>83</v>
      </c>
      <c r="L41">
        <v>105000</v>
      </c>
      <c r="M41">
        <v>3075000</v>
      </c>
      <c r="N41">
        <v>49.967937097539298</v>
      </c>
      <c r="O41">
        <v>0</v>
      </c>
      <c r="P41">
        <v>49.967937097539298</v>
      </c>
      <c r="Q41">
        <v>1800000</v>
      </c>
      <c r="R41">
        <v>100000</v>
      </c>
      <c r="S41">
        <v>12</v>
      </c>
      <c r="T41">
        <v>2</v>
      </c>
      <c r="U41">
        <v>40</v>
      </c>
      <c r="V41">
        <v>20</v>
      </c>
      <c r="W41">
        <v>0.47</v>
      </c>
      <c r="X41">
        <v>0.15793800354003901</v>
      </c>
      <c r="Y41" s="2">
        <f>(N41-'[1]MM-roma5'!S41)/'[1]MM-roma5'!S41</f>
        <v>0</v>
      </c>
    </row>
    <row r="42" spans="1:25" x14ac:dyDescent="0.2">
      <c r="A42" t="s">
        <v>63</v>
      </c>
      <c r="B42">
        <v>50</v>
      </c>
      <c r="C42">
        <v>50</v>
      </c>
      <c r="D42">
        <v>100</v>
      </c>
      <c r="E42">
        <v>41</v>
      </c>
      <c r="F42">
        <v>3</v>
      </c>
      <c r="G42">
        <v>50</v>
      </c>
      <c r="H42">
        <v>69</v>
      </c>
      <c r="I42">
        <v>120</v>
      </c>
      <c r="J42">
        <v>189</v>
      </c>
      <c r="K42">
        <v>86</v>
      </c>
      <c r="L42">
        <v>105000</v>
      </c>
      <c r="M42">
        <v>3075000</v>
      </c>
      <c r="N42">
        <v>60.453513568892099</v>
      </c>
      <c r="O42">
        <v>0</v>
      </c>
      <c r="P42">
        <v>60.453513568892099</v>
      </c>
      <c r="Q42">
        <v>1650000</v>
      </c>
      <c r="R42">
        <v>100000</v>
      </c>
      <c r="S42">
        <v>11</v>
      </c>
      <c r="T42">
        <v>2</v>
      </c>
      <c r="U42">
        <v>50</v>
      </c>
      <c r="V42">
        <v>19</v>
      </c>
      <c r="W42">
        <v>0.6</v>
      </c>
      <c r="X42">
        <v>0.155776977539062</v>
      </c>
      <c r="Y42" s="2">
        <f>(N42-'[1]MM-roma5'!S42)/'[1]MM-roma5'!S42</f>
        <v>0</v>
      </c>
    </row>
    <row r="43" spans="1:25" x14ac:dyDescent="0.2">
      <c r="A43" t="s">
        <v>64</v>
      </c>
      <c r="B43">
        <v>50</v>
      </c>
      <c r="C43">
        <v>50</v>
      </c>
      <c r="D43">
        <v>100</v>
      </c>
      <c r="E43">
        <v>41</v>
      </c>
      <c r="F43">
        <v>3</v>
      </c>
      <c r="G43">
        <v>50</v>
      </c>
      <c r="H43">
        <v>68</v>
      </c>
      <c r="I43">
        <v>120</v>
      </c>
      <c r="J43">
        <v>188</v>
      </c>
      <c r="K43">
        <v>103</v>
      </c>
      <c r="L43">
        <v>105000</v>
      </c>
      <c r="M43">
        <v>3075000</v>
      </c>
      <c r="N43">
        <v>67.694211186069495</v>
      </c>
      <c r="O43">
        <v>0</v>
      </c>
      <c r="P43">
        <v>67.694211186069495</v>
      </c>
      <c r="Q43">
        <v>1650000</v>
      </c>
      <c r="R43">
        <v>100000</v>
      </c>
      <c r="S43">
        <v>11</v>
      </c>
      <c r="T43">
        <v>2</v>
      </c>
      <c r="U43">
        <v>50</v>
      </c>
      <c r="V43">
        <v>34</v>
      </c>
      <c r="W43">
        <v>0.64</v>
      </c>
      <c r="X43">
        <v>0.27055382728576599</v>
      </c>
      <c r="Y43" s="2">
        <f>(N43-'[1]MM-roma5'!S43)/'[1]MM-roma5'!S43</f>
        <v>0</v>
      </c>
    </row>
    <row r="44" spans="1:25" x14ac:dyDescent="0.2">
      <c r="A44" t="s">
        <v>65</v>
      </c>
      <c r="B44">
        <v>50</v>
      </c>
      <c r="C44">
        <v>50</v>
      </c>
      <c r="D44">
        <v>100</v>
      </c>
      <c r="E44">
        <v>41</v>
      </c>
      <c r="F44">
        <v>3</v>
      </c>
      <c r="G44">
        <v>50</v>
      </c>
      <c r="H44">
        <v>79</v>
      </c>
      <c r="I44">
        <v>120</v>
      </c>
      <c r="J44">
        <v>199</v>
      </c>
      <c r="K44">
        <v>107</v>
      </c>
      <c r="L44">
        <v>105000</v>
      </c>
      <c r="M44">
        <v>3075000</v>
      </c>
      <c r="N44">
        <v>64.258363530394504</v>
      </c>
      <c r="O44">
        <v>0</v>
      </c>
      <c r="P44">
        <v>64.258363530394504</v>
      </c>
      <c r="Q44">
        <v>1800000</v>
      </c>
      <c r="R44">
        <v>100000</v>
      </c>
      <c r="S44">
        <v>12</v>
      </c>
      <c r="T44">
        <v>2</v>
      </c>
      <c r="U44">
        <v>50</v>
      </c>
      <c r="V44">
        <v>27</v>
      </c>
      <c r="W44">
        <v>0.44</v>
      </c>
      <c r="X44">
        <v>0.197654008865356</v>
      </c>
      <c r="Y44" s="2">
        <f>(N44-'[1]MM-roma5'!S44)/'[1]MM-roma5'!S44</f>
        <v>0</v>
      </c>
    </row>
    <row r="45" spans="1:25" x14ac:dyDescent="0.2">
      <c r="A45" t="s">
        <v>66</v>
      </c>
      <c r="B45">
        <v>50</v>
      </c>
      <c r="C45">
        <v>50</v>
      </c>
      <c r="D45">
        <v>100</v>
      </c>
      <c r="E45">
        <v>41</v>
      </c>
      <c r="F45">
        <v>3</v>
      </c>
      <c r="G45">
        <v>50</v>
      </c>
      <c r="H45">
        <v>71</v>
      </c>
      <c r="I45">
        <v>120</v>
      </c>
      <c r="J45">
        <v>191</v>
      </c>
      <c r="K45">
        <v>92</v>
      </c>
      <c r="L45">
        <v>105000</v>
      </c>
      <c r="M45">
        <v>3075000</v>
      </c>
      <c r="N45">
        <v>59.804840922733199</v>
      </c>
      <c r="O45">
        <v>0</v>
      </c>
      <c r="P45">
        <v>59.804840922733199</v>
      </c>
      <c r="Q45">
        <v>1650000</v>
      </c>
      <c r="R45">
        <v>100000</v>
      </c>
      <c r="S45">
        <v>11</v>
      </c>
      <c r="T45">
        <v>2</v>
      </c>
      <c r="U45">
        <v>50</v>
      </c>
      <c r="V45">
        <v>20</v>
      </c>
      <c r="W45">
        <v>0.5</v>
      </c>
      <c r="X45">
        <v>0.14862513542175201</v>
      </c>
      <c r="Y45" s="2">
        <f>(N45-'[1]MM-roma5'!S45)/'[1]MM-roma5'!S45</f>
        <v>0</v>
      </c>
    </row>
    <row r="46" spans="1:25" x14ac:dyDescent="0.2">
      <c r="A46" t="s">
        <v>67</v>
      </c>
      <c r="B46">
        <v>50</v>
      </c>
      <c r="C46">
        <v>50</v>
      </c>
      <c r="D46">
        <v>100</v>
      </c>
      <c r="E46">
        <v>41</v>
      </c>
      <c r="F46">
        <v>3</v>
      </c>
      <c r="G46">
        <v>50</v>
      </c>
      <c r="H46">
        <v>72</v>
      </c>
      <c r="I46">
        <v>120</v>
      </c>
      <c r="J46">
        <v>192</v>
      </c>
      <c r="K46">
        <v>102</v>
      </c>
      <c r="L46">
        <v>105000</v>
      </c>
      <c r="M46">
        <v>3075000</v>
      </c>
      <c r="N46">
        <v>63.397345756324</v>
      </c>
      <c r="O46">
        <v>0</v>
      </c>
      <c r="P46">
        <v>63.397345756324</v>
      </c>
      <c r="Q46">
        <v>1950000</v>
      </c>
      <c r="R46">
        <v>100000</v>
      </c>
      <c r="S46">
        <v>13</v>
      </c>
      <c r="T46">
        <v>2</v>
      </c>
      <c r="U46">
        <v>50</v>
      </c>
      <c r="V46">
        <v>29</v>
      </c>
      <c r="W46">
        <v>0.44</v>
      </c>
      <c r="X46">
        <v>0.18639421463012601</v>
      </c>
      <c r="Y46" s="2">
        <f>(N46-'[1]MM-roma5'!S46)/'[1]MM-roma5'!S46</f>
        <v>0</v>
      </c>
    </row>
    <row r="47" spans="1:25" x14ac:dyDescent="0.2">
      <c r="A47" t="s">
        <v>68</v>
      </c>
      <c r="B47">
        <v>50</v>
      </c>
      <c r="C47">
        <v>50</v>
      </c>
      <c r="D47">
        <v>100</v>
      </c>
      <c r="E47">
        <v>41</v>
      </c>
      <c r="F47">
        <v>3</v>
      </c>
      <c r="G47">
        <v>50</v>
      </c>
      <c r="H47">
        <v>68</v>
      </c>
      <c r="I47">
        <v>120</v>
      </c>
      <c r="J47">
        <v>188</v>
      </c>
      <c r="K47">
        <v>103</v>
      </c>
      <c r="L47">
        <v>105000</v>
      </c>
      <c r="M47">
        <v>3075000</v>
      </c>
      <c r="N47">
        <v>63.033771797799098</v>
      </c>
      <c r="O47">
        <v>0</v>
      </c>
      <c r="P47">
        <v>63.033771797799098</v>
      </c>
      <c r="Q47">
        <v>1800000</v>
      </c>
      <c r="R47">
        <v>100000</v>
      </c>
      <c r="S47">
        <v>12</v>
      </c>
      <c r="T47">
        <v>2</v>
      </c>
      <c r="U47">
        <v>50</v>
      </c>
      <c r="V47">
        <v>26</v>
      </c>
      <c r="W47">
        <v>0.52</v>
      </c>
      <c r="X47">
        <v>0.116384983062744</v>
      </c>
      <c r="Y47" s="2">
        <f>(N47-'[1]MM-roma5'!S47)/'[1]MM-roma5'!S47</f>
        <v>1.5781378802067419E-15</v>
      </c>
    </row>
    <row r="48" spans="1:25" x14ac:dyDescent="0.2">
      <c r="A48" t="s">
        <v>69</v>
      </c>
      <c r="B48">
        <v>50</v>
      </c>
      <c r="C48">
        <v>50</v>
      </c>
      <c r="D48">
        <v>100</v>
      </c>
      <c r="E48">
        <v>41</v>
      </c>
      <c r="F48">
        <v>3</v>
      </c>
      <c r="G48">
        <v>50</v>
      </c>
      <c r="H48">
        <v>84</v>
      </c>
      <c r="I48">
        <v>120</v>
      </c>
      <c r="J48">
        <v>204</v>
      </c>
      <c r="K48">
        <v>96</v>
      </c>
      <c r="L48">
        <v>105000</v>
      </c>
      <c r="M48">
        <v>3075000</v>
      </c>
      <c r="N48">
        <v>64.180183753846407</v>
      </c>
      <c r="O48">
        <v>0</v>
      </c>
      <c r="P48">
        <v>64.180183753846407</v>
      </c>
      <c r="Q48">
        <v>1800000</v>
      </c>
      <c r="R48">
        <v>100000</v>
      </c>
      <c r="S48">
        <v>12</v>
      </c>
      <c r="T48">
        <v>2</v>
      </c>
      <c r="U48">
        <v>50</v>
      </c>
      <c r="V48">
        <v>21</v>
      </c>
      <c r="W48">
        <v>0.64</v>
      </c>
      <c r="X48">
        <v>0.200875043869018</v>
      </c>
      <c r="Y48" s="2">
        <f>(N48-'[1]MM-roma5'!S48)/'[1]MM-roma5'!S48</f>
        <v>0</v>
      </c>
    </row>
    <row r="49" spans="1:25" x14ac:dyDescent="0.2">
      <c r="A49" t="s">
        <v>70</v>
      </c>
      <c r="B49">
        <v>50</v>
      </c>
      <c r="C49">
        <v>50</v>
      </c>
      <c r="D49">
        <v>100</v>
      </c>
      <c r="E49">
        <v>41</v>
      </c>
      <c r="F49">
        <v>3</v>
      </c>
      <c r="G49">
        <v>50</v>
      </c>
      <c r="H49">
        <v>73</v>
      </c>
      <c r="I49">
        <v>120</v>
      </c>
      <c r="J49">
        <v>193</v>
      </c>
      <c r="K49">
        <v>96</v>
      </c>
      <c r="L49">
        <v>105000</v>
      </c>
      <c r="M49">
        <v>3075000</v>
      </c>
      <c r="N49">
        <v>59.510565189664099</v>
      </c>
      <c r="O49">
        <v>0</v>
      </c>
      <c r="P49">
        <v>59.510565189664099</v>
      </c>
      <c r="Q49">
        <v>1200000</v>
      </c>
      <c r="R49">
        <v>100000</v>
      </c>
      <c r="S49">
        <v>8</v>
      </c>
      <c r="T49">
        <v>2</v>
      </c>
      <c r="U49">
        <v>50</v>
      </c>
      <c r="V49">
        <v>25</v>
      </c>
      <c r="W49">
        <v>0.44</v>
      </c>
      <c r="X49">
        <v>0.19877600669860801</v>
      </c>
      <c r="Y49" s="2">
        <f>(N49-'[1]MM-roma5'!S49)/'[1]MM-roma5'!S49</f>
        <v>0</v>
      </c>
    </row>
    <row r="50" spans="1:25" x14ac:dyDescent="0.2">
      <c r="A50" t="s">
        <v>71</v>
      </c>
      <c r="B50">
        <v>50</v>
      </c>
      <c r="C50">
        <v>50</v>
      </c>
      <c r="D50">
        <v>100</v>
      </c>
      <c r="E50">
        <v>41</v>
      </c>
      <c r="F50">
        <v>3</v>
      </c>
      <c r="G50">
        <v>50</v>
      </c>
      <c r="H50">
        <v>72</v>
      </c>
      <c r="I50">
        <v>120</v>
      </c>
      <c r="J50">
        <v>192</v>
      </c>
      <c r="K50">
        <v>94</v>
      </c>
      <c r="L50">
        <v>105000</v>
      </c>
      <c r="M50">
        <v>3075000</v>
      </c>
      <c r="N50">
        <v>60.385712594362303</v>
      </c>
      <c r="O50">
        <v>0</v>
      </c>
      <c r="P50">
        <v>60.385712594362303</v>
      </c>
      <c r="Q50">
        <v>1350000</v>
      </c>
      <c r="R50">
        <v>100000</v>
      </c>
      <c r="S50">
        <v>9</v>
      </c>
      <c r="T50">
        <v>2</v>
      </c>
      <c r="U50">
        <v>50</v>
      </c>
      <c r="V50">
        <v>23</v>
      </c>
      <c r="W50">
        <v>0.5</v>
      </c>
      <c r="X50">
        <v>0.180721044540405</v>
      </c>
      <c r="Y50" s="2">
        <f>(N50-'[1]MM-roma5'!S50)/'[1]MM-roma5'!S50</f>
        <v>0</v>
      </c>
    </row>
    <row r="51" spans="1:25" x14ac:dyDescent="0.2">
      <c r="A51" t="s">
        <v>72</v>
      </c>
      <c r="B51">
        <v>50</v>
      </c>
      <c r="C51">
        <v>50</v>
      </c>
      <c r="D51">
        <v>100</v>
      </c>
      <c r="E51">
        <v>41</v>
      </c>
      <c r="F51">
        <v>3</v>
      </c>
      <c r="G51">
        <v>50</v>
      </c>
      <c r="H51">
        <v>75</v>
      </c>
      <c r="I51">
        <v>120</v>
      </c>
      <c r="J51">
        <v>195</v>
      </c>
      <c r="K51">
        <v>104</v>
      </c>
      <c r="L51">
        <v>105000</v>
      </c>
      <c r="M51">
        <v>3075000</v>
      </c>
      <c r="N51">
        <v>66.066139663269098</v>
      </c>
      <c r="O51">
        <v>0</v>
      </c>
      <c r="P51">
        <v>66.066139663269098</v>
      </c>
      <c r="Q51">
        <v>2400000</v>
      </c>
      <c r="R51">
        <v>100000</v>
      </c>
      <c r="S51">
        <v>16</v>
      </c>
      <c r="T51">
        <v>2</v>
      </c>
      <c r="U51">
        <v>50</v>
      </c>
      <c r="V51">
        <v>27</v>
      </c>
      <c r="W51">
        <v>0.6</v>
      </c>
      <c r="X51">
        <v>0.24515295028686501</v>
      </c>
      <c r="Y51" s="2">
        <f>(N51-'[1]MM-roma5'!S51)/'[1]MM-roma5'!S51</f>
        <v>1.5057029745256935E-15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7FF1-B73E-D449-91EB-F52D4280D94C}">
  <dimension ref="A1:Y51"/>
  <sheetViews>
    <sheetView topLeftCell="K1" workbookViewId="0">
      <selection activeCell="Y2" sqref="Y2"/>
    </sheetView>
  </sheetViews>
  <sheetFormatPr baseColWidth="10" defaultRowHeight="16" x14ac:dyDescent="0.2"/>
  <sheetData>
    <row r="1" spans="1:2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173</v>
      </c>
    </row>
    <row r="2" spans="1:25" x14ac:dyDescent="0.2">
      <c r="A2" t="s">
        <v>73</v>
      </c>
      <c r="B2">
        <v>10</v>
      </c>
      <c r="C2">
        <v>10</v>
      </c>
      <c r="D2">
        <v>20</v>
      </c>
      <c r="E2">
        <v>30</v>
      </c>
      <c r="F2">
        <v>3</v>
      </c>
      <c r="G2">
        <v>10</v>
      </c>
      <c r="H2">
        <v>18</v>
      </c>
      <c r="I2">
        <v>120</v>
      </c>
      <c r="J2">
        <v>138</v>
      </c>
      <c r="K2">
        <v>20</v>
      </c>
      <c r="L2">
        <v>105000</v>
      </c>
      <c r="M2">
        <v>2250000</v>
      </c>
      <c r="N2">
        <v>14.3490194132602</v>
      </c>
      <c r="O2">
        <v>0</v>
      </c>
      <c r="P2">
        <v>14.3490194132602</v>
      </c>
      <c r="Q2">
        <v>600000</v>
      </c>
      <c r="R2">
        <v>100000</v>
      </c>
      <c r="S2">
        <v>4</v>
      </c>
      <c r="T2">
        <v>2</v>
      </c>
      <c r="U2">
        <v>10</v>
      </c>
      <c r="V2">
        <v>5</v>
      </c>
      <c r="W2">
        <v>0.6</v>
      </c>
      <c r="X2">
        <v>1.9626140594482401E-2</v>
      </c>
      <c r="Y2" s="3">
        <f>(N2-'[1]MM-napoli5'!S2)/'[1]MM-napoli5'!S2</f>
        <v>0</v>
      </c>
    </row>
    <row r="3" spans="1:25" x14ac:dyDescent="0.2">
      <c r="A3" t="s">
        <v>74</v>
      </c>
      <c r="B3">
        <v>10</v>
      </c>
      <c r="C3">
        <v>10</v>
      </c>
      <c r="D3">
        <v>20</v>
      </c>
      <c r="E3">
        <v>30</v>
      </c>
      <c r="F3">
        <v>3</v>
      </c>
      <c r="G3">
        <v>10</v>
      </c>
      <c r="H3">
        <v>12</v>
      </c>
      <c r="I3">
        <v>120</v>
      </c>
      <c r="J3">
        <v>132</v>
      </c>
      <c r="K3">
        <v>18</v>
      </c>
      <c r="L3">
        <v>105000</v>
      </c>
      <c r="M3">
        <v>2250000</v>
      </c>
      <c r="N3">
        <v>8.1845214300659599</v>
      </c>
      <c r="O3">
        <v>0</v>
      </c>
      <c r="P3">
        <v>8.1845214300659599</v>
      </c>
      <c r="Q3">
        <v>450000</v>
      </c>
      <c r="R3">
        <v>100000</v>
      </c>
      <c r="S3">
        <v>3</v>
      </c>
      <c r="T3">
        <v>2</v>
      </c>
      <c r="U3">
        <v>10</v>
      </c>
      <c r="V3">
        <v>5</v>
      </c>
      <c r="W3">
        <v>0.4</v>
      </c>
      <c r="X3">
        <v>1.5483140945434499E-2</v>
      </c>
      <c r="Y3" s="3">
        <f>(N3-'[1]MM-napoli5'!S3)/'[1]MM-napoli5'!S3</f>
        <v>0</v>
      </c>
    </row>
    <row r="4" spans="1:25" x14ac:dyDescent="0.2">
      <c r="A4" t="s">
        <v>75</v>
      </c>
      <c r="B4">
        <v>10</v>
      </c>
      <c r="C4">
        <v>10</v>
      </c>
      <c r="D4">
        <v>20</v>
      </c>
      <c r="E4">
        <v>30</v>
      </c>
      <c r="F4">
        <v>3</v>
      </c>
      <c r="G4">
        <v>10</v>
      </c>
      <c r="H4">
        <v>18</v>
      </c>
      <c r="I4">
        <v>120</v>
      </c>
      <c r="J4">
        <v>138</v>
      </c>
      <c r="K4">
        <v>18</v>
      </c>
      <c r="L4">
        <v>105000</v>
      </c>
      <c r="M4">
        <v>2250000</v>
      </c>
      <c r="N4">
        <v>6.3762983166081399</v>
      </c>
      <c r="O4">
        <v>0</v>
      </c>
      <c r="P4">
        <v>6.3762983166081399</v>
      </c>
      <c r="Q4">
        <v>300000</v>
      </c>
      <c r="R4">
        <v>50000</v>
      </c>
      <c r="S4">
        <v>2</v>
      </c>
      <c r="T4">
        <v>1</v>
      </c>
      <c r="U4">
        <v>10</v>
      </c>
      <c r="V4">
        <v>3</v>
      </c>
      <c r="W4">
        <v>0.2</v>
      </c>
      <c r="X4">
        <v>9.1261863708496094E-3</v>
      </c>
      <c r="Y4" s="3">
        <f>(N4-'[1]MM-napoli5'!S4)/'[1]MM-napoli5'!S4</f>
        <v>0</v>
      </c>
    </row>
    <row r="5" spans="1:25" x14ac:dyDescent="0.2">
      <c r="A5" t="s">
        <v>76</v>
      </c>
      <c r="B5">
        <v>10</v>
      </c>
      <c r="C5">
        <v>10</v>
      </c>
      <c r="D5">
        <v>20</v>
      </c>
      <c r="E5">
        <v>30</v>
      </c>
      <c r="F5">
        <v>3</v>
      </c>
      <c r="G5">
        <v>10</v>
      </c>
      <c r="H5">
        <v>15</v>
      </c>
      <c r="I5">
        <v>120</v>
      </c>
      <c r="J5">
        <v>135</v>
      </c>
      <c r="K5">
        <v>16</v>
      </c>
      <c r="L5">
        <v>105000</v>
      </c>
      <c r="M5">
        <v>2250000</v>
      </c>
      <c r="N5">
        <v>6.1228968146935996</v>
      </c>
      <c r="O5">
        <v>0</v>
      </c>
      <c r="P5">
        <v>6.1228968146935996</v>
      </c>
      <c r="Q5">
        <v>450000</v>
      </c>
      <c r="R5">
        <v>100000</v>
      </c>
      <c r="S5">
        <v>3</v>
      </c>
      <c r="T5">
        <v>2</v>
      </c>
      <c r="U5">
        <v>10</v>
      </c>
      <c r="V5">
        <v>3</v>
      </c>
      <c r="W5">
        <v>0.3</v>
      </c>
      <c r="X5">
        <v>1.13928318023681E-2</v>
      </c>
      <c r="Y5" s="3">
        <f>(N5-'[1]MM-napoli5'!S5)/'[1]MM-napoli5'!S5</f>
        <v>0</v>
      </c>
    </row>
    <row r="6" spans="1:25" x14ac:dyDescent="0.2">
      <c r="A6" t="s">
        <v>77</v>
      </c>
      <c r="B6">
        <v>10</v>
      </c>
      <c r="C6">
        <v>10</v>
      </c>
      <c r="D6">
        <v>20</v>
      </c>
      <c r="E6">
        <v>30</v>
      </c>
      <c r="F6">
        <v>3</v>
      </c>
      <c r="G6">
        <v>10</v>
      </c>
      <c r="H6">
        <v>14</v>
      </c>
      <c r="I6">
        <v>120</v>
      </c>
      <c r="J6">
        <v>134</v>
      </c>
      <c r="K6">
        <v>21</v>
      </c>
      <c r="L6">
        <v>105000</v>
      </c>
      <c r="M6">
        <v>2250000</v>
      </c>
      <c r="N6">
        <v>11.8335770772805</v>
      </c>
      <c r="O6">
        <v>0</v>
      </c>
      <c r="P6">
        <v>11.8335770772805</v>
      </c>
      <c r="Q6">
        <v>450000</v>
      </c>
      <c r="R6">
        <v>100000</v>
      </c>
      <c r="S6">
        <v>3</v>
      </c>
      <c r="T6">
        <v>2</v>
      </c>
      <c r="U6">
        <v>10</v>
      </c>
      <c r="V6">
        <v>4</v>
      </c>
      <c r="W6">
        <v>0.4</v>
      </c>
      <c r="X6">
        <v>1.65600776672363E-2</v>
      </c>
      <c r="Y6" s="3">
        <f>(N6-'[1]MM-napoli5'!S6)/'[1]MM-napoli5'!S6</f>
        <v>0</v>
      </c>
    </row>
    <row r="7" spans="1:25" x14ac:dyDescent="0.2">
      <c r="A7" t="s">
        <v>78</v>
      </c>
      <c r="B7">
        <v>10</v>
      </c>
      <c r="C7">
        <v>10</v>
      </c>
      <c r="D7">
        <v>20</v>
      </c>
      <c r="E7">
        <v>30</v>
      </c>
      <c r="F7">
        <v>3</v>
      </c>
      <c r="G7">
        <v>10</v>
      </c>
      <c r="H7">
        <v>18</v>
      </c>
      <c r="I7">
        <v>120</v>
      </c>
      <c r="J7">
        <v>138</v>
      </c>
      <c r="K7">
        <v>20</v>
      </c>
      <c r="L7">
        <v>105000</v>
      </c>
      <c r="M7">
        <v>2250000</v>
      </c>
      <c r="N7">
        <v>11.5563138364442</v>
      </c>
      <c r="O7">
        <v>0</v>
      </c>
      <c r="P7">
        <v>11.5563138364442</v>
      </c>
      <c r="Q7">
        <v>750000</v>
      </c>
      <c r="R7">
        <v>100000</v>
      </c>
      <c r="S7">
        <v>5</v>
      </c>
      <c r="T7">
        <v>2</v>
      </c>
      <c r="U7">
        <v>10</v>
      </c>
      <c r="V7">
        <v>3</v>
      </c>
      <c r="W7">
        <v>0.6</v>
      </c>
      <c r="X7">
        <v>1.72188282012939E-2</v>
      </c>
      <c r="Y7" s="3">
        <f>(N7-'[1]MM-napoli5'!S7)/'[1]MM-napoli5'!S7</f>
        <v>0</v>
      </c>
    </row>
    <row r="8" spans="1:25" x14ac:dyDescent="0.2">
      <c r="A8" t="s">
        <v>79</v>
      </c>
      <c r="B8">
        <v>10</v>
      </c>
      <c r="C8">
        <v>10</v>
      </c>
      <c r="D8">
        <v>20</v>
      </c>
      <c r="E8">
        <v>30</v>
      </c>
      <c r="F8">
        <v>3</v>
      </c>
      <c r="G8">
        <v>10</v>
      </c>
      <c r="H8">
        <v>16</v>
      </c>
      <c r="I8">
        <v>120</v>
      </c>
      <c r="J8">
        <v>136</v>
      </c>
      <c r="K8">
        <v>23</v>
      </c>
      <c r="L8">
        <v>105000</v>
      </c>
      <c r="M8">
        <v>2250000</v>
      </c>
      <c r="N8">
        <v>13.3100256070644</v>
      </c>
      <c r="O8">
        <v>0</v>
      </c>
      <c r="P8">
        <v>13.3100256070644</v>
      </c>
      <c r="Q8">
        <v>600000</v>
      </c>
      <c r="R8">
        <v>100000</v>
      </c>
      <c r="S8">
        <v>4</v>
      </c>
      <c r="T8">
        <v>2</v>
      </c>
      <c r="U8">
        <v>10</v>
      </c>
      <c r="V8">
        <v>5</v>
      </c>
      <c r="W8">
        <v>0.6</v>
      </c>
      <c r="X8">
        <v>1.56061649322509E-2</v>
      </c>
      <c r="Y8" s="3">
        <f>(N8-'[1]MM-napoli5'!S8)/'[1]MM-napoli5'!S8</f>
        <v>0</v>
      </c>
    </row>
    <row r="9" spans="1:25" x14ac:dyDescent="0.2">
      <c r="A9" t="s">
        <v>80</v>
      </c>
      <c r="B9">
        <v>10</v>
      </c>
      <c r="C9">
        <v>10</v>
      </c>
      <c r="D9">
        <v>20</v>
      </c>
      <c r="E9">
        <v>30</v>
      </c>
      <c r="F9">
        <v>3</v>
      </c>
      <c r="G9">
        <v>10</v>
      </c>
      <c r="H9">
        <v>15</v>
      </c>
      <c r="I9">
        <v>120</v>
      </c>
      <c r="J9">
        <v>135</v>
      </c>
      <c r="K9">
        <v>19</v>
      </c>
      <c r="L9">
        <v>105000</v>
      </c>
      <c r="M9">
        <v>2250000</v>
      </c>
      <c r="N9">
        <v>10.3845350143391</v>
      </c>
      <c r="O9">
        <v>0</v>
      </c>
      <c r="P9">
        <v>10.3845350143391</v>
      </c>
      <c r="Q9">
        <v>600000</v>
      </c>
      <c r="R9">
        <v>100000</v>
      </c>
      <c r="S9">
        <v>4</v>
      </c>
      <c r="T9">
        <v>2</v>
      </c>
      <c r="U9">
        <v>10</v>
      </c>
      <c r="V9">
        <v>4</v>
      </c>
      <c r="W9">
        <v>0.4</v>
      </c>
      <c r="X9">
        <v>1.4447927474975499E-2</v>
      </c>
      <c r="Y9" s="3">
        <f>(N9-'[1]MM-napoli5'!S9)/'[1]MM-napoli5'!S9</f>
        <v>0</v>
      </c>
    </row>
    <row r="10" spans="1:25" x14ac:dyDescent="0.2">
      <c r="A10" t="s">
        <v>81</v>
      </c>
      <c r="B10">
        <v>10</v>
      </c>
      <c r="C10">
        <v>10</v>
      </c>
      <c r="D10">
        <v>20</v>
      </c>
      <c r="E10">
        <v>30</v>
      </c>
      <c r="F10">
        <v>3</v>
      </c>
      <c r="G10">
        <v>10</v>
      </c>
      <c r="H10">
        <v>15</v>
      </c>
      <c r="I10">
        <v>120</v>
      </c>
      <c r="J10">
        <v>135</v>
      </c>
      <c r="K10">
        <v>22</v>
      </c>
      <c r="L10">
        <v>105000</v>
      </c>
      <c r="M10">
        <v>2250000</v>
      </c>
      <c r="N10">
        <v>8.1944445910219308</v>
      </c>
      <c r="O10">
        <v>0</v>
      </c>
      <c r="P10">
        <v>8.1944445910219308</v>
      </c>
      <c r="Q10">
        <v>450000</v>
      </c>
      <c r="R10">
        <v>100000</v>
      </c>
      <c r="S10">
        <v>3</v>
      </c>
      <c r="T10">
        <v>2</v>
      </c>
      <c r="U10">
        <v>10</v>
      </c>
      <c r="V10">
        <v>4</v>
      </c>
      <c r="W10">
        <v>0.3</v>
      </c>
      <c r="X10">
        <v>1.2315034866332999E-2</v>
      </c>
      <c r="Y10" s="3">
        <f>(N10-'[1]MM-napoli5'!S10)/'[1]MM-napoli5'!S10</f>
        <v>0</v>
      </c>
    </row>
    <row r="11" spans="1:25" x14ac:dyDescent="0.2">
      <c r="A11" t="s">
        <v>82</v>
      </c>
      <c r="B11">
        <v>10</v>
      </c>
      <c r="C11">
        <v>10</v>
      </c>
      <c r="D11">
        <v>20</v>
      </c>
      <c r="E11">
        <v>30</v>
      </c>
      <c r="F11">
        <v>3</v>
      </c>
      <c r="G11">
        <v>10</v>
      </c>
      <c r="H11">
        <v>18</v>
      </c>
      <c r="I11">
        <v>120</v>
      </c>
      <c r="J11">
        <v>138</v>
      </c>
      <c r="K11">
        <v>22</v>
      </c>
      <c r="L11">
        <v>105000</v>
      </c>
      <c r="M11">
        <v>2250000</v>
      </c>
      <c r="N11">
        <v>9.3128370665481004</v>
      </c>
      <c r="O11">
        <v>0</v>
      </c>
      <c r="P11">
        <v>9.3128370665481004</v>
      </c>
      <c r="Q11">
        <v>150000</v>
      </c>
      <c r="R11">
        <v>100000</v>
      </c>
      <c r="S11">
        <v>1</v>
      </c>
      <c r="T11">
        <v>2</v>
      </c>
      <c r="U11">
        <v>10</v>
      </c>
      <c r="V11">
        <v>5</v>
      </c>
      <c r="W11">
        <v>0.1</v>
      </c>
      <c r="X11">
        <v>1.87809467315673E-2</v>
      </c>
      <c r="Y11" s="3">
        <f>(N11-'[1]MM-napoli5'!S11)/'[1]MM-napoli5'!S11</f>
        <v>0</v>
      </c>
    </row>
    <row r="12" spans="1:25" x14ac:dyDescent="0.2">
      <c r="A12" t="s">
        <v>83</v>
      </c>
      <c r="B12">
        <v>20</v>
      </c>
      <c r="C12">
        <v>20</v>
      </c>
      <c r="D12">
        <v>40</v>
      </c>
      <c r="E12">
        <v>30</v>
      </c>
      <c r="F12">
        <v>3</v>
      </c>
      <c r="G12">
        <v>20</v>
      </c>
      <c r="H12">
        <v>28</v>
      </c>
      <c r="I12">
        <v>120</v>
      </c>
      <c r="J12">
        <v>148</v>
      </c>
      <c r="K12">
        <v>39</v>
      </c>
      <c r="L12">
        <v>105000</v>
      </c>
      <c r="M12">
        <v>2250000</v>
      </c>
      <c r="N12">
        <v>17.7255576921653</v>
      </c>
      <c r="O12">
        <v>0</v>
      </c>
      <c r="P12">
        <v>17.7255576921653</v>
      </c>
      <c r="Q12">
        <v>600000</v>
      </c>
      <c r="R12">
        <v>100000</v>
      </c>
      <c r="S12">
        <v>4</v>
      </c>
      <c r="T12">
        <v>2</v>
      </c>
      <c r="U12">
        <v>20</v>
      </c>
      <c r="V12">
        <v>9</v>
      </c>
      <c r="W12">
        <v>0.25</v>
      </c>
      <c r="X12">
        <v>3.7317037582397398E-2</v>
      </c>
      <c r="Y12" s="3">
        <f>(N12-'[1]MM-napoli5'!S12)/'[1]MM-napoli5'!S12</f>
        <v>0</v>
      </c>
    </row>
    <row r="13" spans="1:25" x14ac:dyDescent="0.2">
      <c r="A13" t="s">
        <v>84</v>
      </c>
      <c r="B13">
        <v>20</v>
      </c>
      <c r="C13">
        <v>20</v>
      </c>
      <c r="D13">
        <v>40</v>
      </c>
      <c r="E13">
        <v>30</v>
      </c>
      <c r="F13">
        <v>3</v>
      </c>
      <c r="G13">
        <v>20</v>
      </c>
      <c r="H13">
        <v>29</v>
      </c>
      <c r="I13">
        <v>120</v>
      </c>
      <c r="J13">
        <v>149</v>
      </c>
      <c r="K13">
        <v>44</v>
      </c>
      <c r="L13">
        <v>105000</v>
      </c>
      <c r="M13">
        <v>2250000</v>
      </c>
      <c r="N13">
        <v>23.223030025505299</v>
      </c>
      <c r="O13">
        <v>0</v>
      </c>
      <c r="P13">
        <v>23.223030025505299</v>
      </c>
      <c r="Q13">
        <v>1050000</v>
      </c>
      <c r="R13">
        <v>100000</v>
      </c>
      <c r="S13">
        <v>7</v>
      </c>
      <c r="T13">
        <v>2</v>
      </c>
      <c r="U13">
        <v>20</v>
      </c>
      <c r="V13">
        <v>13</v>
      </c>
      <c r="W13">
        <v>0.45</v>
      </c>
      <c r="X13">
        <v>5.9529066085815402E-2</v>
      </c>
      <c r="Y13" s="3">
        <f>(N13-'[1]MM-napoli5'!S13)/'[1]MM-napoli5'!S13</f>
        <v>0</v>
      </c>
    </row>
    <row r="14" spans="1:25" x14ac:dyDescent="0.2">
      <c r="A14" t="s">
        <v>85</v>
      </c>
      <c r="B14">
        <v>20</v>
      </c>
      <c r="C14">
        <v>20</v>
      </c>
      <c r="D14">
        <v>40</v>
      </c>
      <c r="E14">
        <v>30</v>
      </c>
      <c r="F14">
        <v>3</v>
      </c>
      <c r="G14">
        <v>20</v>
      </c>
      <c r="H14">
        <v>24</v>
      </c>
      <c r="I14">
        <v>120</v>
      </c>
      <c r="J14">
        <v>144</v>
      </c>
      <c r="K14">
        <v>41</v>
      </c>
      <c r="L14">
        <v>105000</v>
      </c>
      <c r="M14">
        <v>2250000</v>
      </c>
      <c r="N14">
        <v>21.883621559940298</v>
      </c>
      <c r="O14">
        <v>0</v>
      </c>
      <c r="P14">
        <v>21.883621559940298</v>
      </c>
      <c r="Q14">
        <v>900000</v>
      </c>
      <c r="R14">
        <v>100000</v>
      </c>
      <c r="S14">
        <v>6</v>
      </c>
      <c r="T14">
        <v>2</v>
      </c>
      <c r="U14">
        <v>20</v>
      </c>
      <c r="V14">
        <v>12</v>
      </c>
      <c r="W14">
        <v>0.35</v>
      </c>
      <c r="X14">
        <v>5.7321071624755797E-2</v>
      </c>
      <c r="Y14" s="3">
        <f>(N14-'[1]MM-napoli5'!S14)/'[1]MM-napoli5'!S14</f>
        <v>0</v>
      </c>
    </row>
    <row r="15" spans="1:25" x14ac:dyDescent="0.2">
      <c r="A15" t="s">
        <v>86</v>
      </c>
      <c r="B15">
        <v>20</v>
      </c>
      <c r="C15">
        <v>20</v>
      </c>
      <c r="D15">
        <v>40</v>
      </c>
      <c r="E15">
        <v>30</v>
      </c>
      <c r="F15">
        <v>3</v>
      </c>
      <c r="G15">
        <v>20</v>
      </c>
      <c r="H15">
        <v>33</v>
      </c>
      <c r="I15">
        <v>120</v>
      </c>
      <c r="J15">
        <v>153</v>
      </c>
      <c r="K15">
        <v>40</v>
      </c>
      <c r="L15">
        <v>105000</v>
      </c>
      <c r="M15">
        <v>2250000</v>
      </c>
      <c r="N15">
        <v>23.43533925393</v>
      </c>
      <c r="O15">
        <v>0</v>
      </c>
      <c r="P15">
        <v>23.43533925393</v>
      </c>
      <c r="Q15">
        <v>1050000</v>
      </c>
      <c r="R15">
        <v>100000</v>
      </c>
      <c r="S15">
        <v>7</v>
      </c>
      <c r="T15">
        <v>2</v>
      </c>
      <c r="U15">
        <v>20</v>
      </c>
      <c r="V15">
        <v>9</v>
      </c>
      <c r="W15">
        <v>0.5</v>
      </c>
      <c r="X15">
        <v>2.7444839477539E-2</v>
      </c>
      <c r="Y15" s="3">
        <f>(N15-'[1]MM-napoli5'!S15)/'[1]MM-napoli5'!S15</f>
        <v>0</v>
      </c>
    </row>
    <row r="16" spans="1:25" x14ac:dyDescent="0.2">
      <c r="A16" t="s">
        <v>87</v>
      </c>
      <c r="B16">
        <v>20</v>
      </c>
      <c r="C16">
        <v>20</v>
      </c>
      <c r="D16">
        <v>40</v>
      </c>
      <c r="E16">
        <v>30</v>
      </c>
      <c r="F16">
        <v>3</v>
      </c>
      <c r="G16">
        <v>20</v>
      </c>
      <c r="H16">
        <v>34</v>
      </c>
      <c r="I16">
        <v>120</v>
      </c>
      <c r="J16">
        <v>154</v>
      </c>
      <c r="K16">
        <v>42</v>
      </c>
      <c r="L16">
        <v>105000</v>
      </c>
      <c r="M16">
        <v>2250000</v>
      </c>
      <c r="N16">
        <v>22.3571867937866</v>
      </c>
      <c r="O16" s="1">
        <v>3.5665952921038801E-5</v>
      </c>
      <c r="P16">
        <v>22.356389403415001</v>
      </c>
      <c r="Q16">
        <v>750000</v>
      </c>
      <c r="R16">
        <v>100000</v>
      </c>
      <c r="S16">
        <v>5</v>
      </c>
      <c r="T16">
        <v>2</v>
      </c>
      <c r="U16">
        <v>20</v>
      </c>
      <c r="V16">
        <v>10</v>
      </c>
      <c r="W16">
        <v>0.4</v>
      </c>
      <c r="X16">
        <v>4.4922113418579102E-2</v>
      </c>
      <c r="Y16" s="3">
        <f>(N16-'[1]MM-napoli5'!S16)/'[1]MM-napoli5'!S16</f>
        <v>0</v>
      </c>
    </row>
    <row r="17" spans="1:25" x14ac:dyDescent="0.2">
      <c r="A17" t="s">
        <v>88</v>
      </c>
      <c r="B17">
        <v>20</v>
      </c>
      <c r="C17">
        <v>20</v>
      </c>
      <c r="D17">
        <v>40</v>
      </c>
      <c r="E17">
        <v>30</v>
      </c>
      <c r="F17">
        <v>3</v>
      </c>
      <c r="G17">
        <v>20</v>
      </c>
      <c r="H17">
        <v>35</v>
      </c>
      <c r="I17">
        <v>120</v>
      </c>
      <c r="J17">
        <v>155</v>
      </c>
      <c r="K17">
        <v>37</v>
      </c>
      <c r="L17">
        <v>105000</v>
      </c>
      <c r="M17">
        <v>2250000</v>
      </c>
      <c r="N17">
        <v>19.243079210271201</v>
      </c>
      <c r="O17">
        <v>0</v>
      </c>
      <c r="P17">
        <v>19.243079210271201</v>
      </c>
      <c r="Q17">
        <v>750000</v>
      </c>
      <c r="R17">
        <v>100000</v>
      </c>
      <c r="S17">
        <v>5</v>
      </c>
      <c r="T17">
        <v>2</v>
      </c>
      <c r="U17">
        <v>20</v>
      </c>
      <c r="V17">
        <v>4</v>
      </c>
      <c r="W17">
        <v>0.5</v>
      </c>
      <c r="X17">
        <v>2.2231817245483398E-2</v>
      </c>
      <c r="Y17" s="3">
        <f>(N17-'[1]MM-napoli5'!S17)/'[1]MM-napoli5'!S17</f>
        <v>0</v>
      </c>
    </row>
    <row r="18" spans="1:25" x14ac:dyDescent="0.2">
      <c r="A18" t="s">
        <v>89</v>
      </c>
      <c r="B18">
        <v>20</v>
      </c>
      <c r="C18">
        <v>20</v>
      </c>
      <c r="D18">
        <v>40</v>
      </c>
      <c r="E18">
        <v>30</v>
      </c>
      <c r="F18">
        <v>3</v>
      </c>
      <c r="G18">
        <v>20</v>
      </c>
      <c r="H18">
        <v>28</v>
      </c>
      <c r="I18">
        <v>120</v>
      </c>
      <c r="J18">
        <v>148</v>
      </c>
      <c r="K18">
        <v>40</v>
      </c>
      <c r="L18">
        <v>105000</v>
      </c>
      <c r="M18">
        <v>2250000</v>
      </c>
      <c r="N18">
        <v>21.419621230922999</v>
      </c>
      <c r="O18">
        <v>0</v>
      </c>
      <c r="P18">
        <v>21.419621230922999</v>
      </c>
      <c r="Q18">
        <v>900000</v>
      </c>
      <c r="R18">
        <v>100000</v>
      </c>
      <c r="S18">
        <v>6</v>
      </c>
      <c r="T18">
        <v>2</v>
      </c>
      <c r="U18">
        <v>20</v>
      </c>
      <c r="V18">
        <v>11</v>
      </c>
      <c r="W18">
        <v>0.55000000000000004</v>
      </c>
      <c r="X18">
        <v>6.3560009002685505E-2</v>
      </c>
      <c r="Y18" s="3">
        <f>(N18-'[1]MM-napoli5'!S18)/'[1]MM-napoli5'!S18</f>
        <v>0</v>
      </c>
    </row>
    <row r="19" spans="1:25" x14ac:dyDescent="0.2">
      <c r="A19" t="s">
        <v>90</v>
      </c>
      <c r="B19">
        <v>20</v>
      </c>
      <c r="C19">
        <v>20</v>
      </c>
      <c r="D19">
        <v>40</v>
      </c>
      <c r="E19">
        <v>30</v>
      </c>
      <c r="F19">
        <v>3</v>
      </c>
      <c r="G19">
        <v>20</v>
      </c>
      <c r="H19">
        <v>25</v>
      </c>
      <c r="I19">
        <v>120</v>
      </c>
      <c r="J19">
        <v>145</v>
      </c>
      <c r="K19">
        <v>37</v>
      </c>
      <c r="L19">
        <v>105000</v>
      </c>
      <c r="M19">
        <v>2250000</v>
      </c>
      <c r="N19">
        <v>22.162198908187801</v>
      </c>
      <c r="O19">
        <v>0</v>
      </c>
      <c r="P19">
        <v>22.162198908187801</v>
      </c>
      <c r="Q19">
        <v>900000</v>
      </c>
      <c r="R19">
        <v>100000</v>
      </c>
      <c r="S19">
        <v>6</v>
      </c>
      <c r="T19">
        <v>2</v>
      </c>
      <c r="U19">
        <v>20</v>
      </c>
      <c r="V19">
        <v>10</v>
      </c>
      <c r="W19">
        <v>0.5</v>
      </c>
      <c r="X19">
        <v>3.3818960189819301E-2</v>
      </c>
      <c r="Y19" s="3">
        <f>(N19-'[1]MM-napoli5'!S19)/'[1]MM-napoli5'!S19</f>
        <v>0</v>
      </c>
    </row>
    <row r="20" spans="1:25" x14ac:dyDescent="0.2">
      <c r="A20" t="s">
        <v>91</v>
      </c>
      <c r="B20">
        <v>20</v>
      </c>
      <c r="C20">
        <v>20</v>
      </c>
      <c r="D20">
        <v>40</v>
      </c>
      <c r="E20">
        <v>30</v>
      </c>
      <c r="F20">
        <v>3</v>
      </c>
      <c r="G20">
        <v>20</v>
      </c>
      <c r="H20">
        <v>30</v>
      </c>
      <c r="I20">
        <v>120</v>
      </c>
      <c r="J20">
        <v>150</v>
      </c>
      <c r="K20">
        <v>41</v>
      </c>
      <c r="L20">
        <v>105000</v>
      </c>
      <c r="M20">
        <v>2250000</v>
      </c>
      <c r="N20">
        <v>20.979596911132901</v>
      </c>
      <c r="O20">
        <v>0</v>
      </c>
      <c r="P20">
        <v>20.979596911132901</v>
      </c>
      <c r="Q20">
        <v>750000</v>
      </c>
      <c r="R20">
        <v>100000</v>
      </c>
      <c r="S20">
        <v>5</v>
      </c>
      <c r="T20">
        <v>2</v>
      </c>
      <c r="U20">
        <v>20</v>
      </c>
      <c r="V20">
        <v>9</v>
      </c>
      <c r="W20">
        <v>0.3</v>
      </c>
      <c r="X20">
        <v>4.1668891906738198E-2</v>
      </c>
      <c r="Y20" s="3">
        <f>(N20-'[1]MM-napoli5'!S20)/'[1]MM-napoli5'!S20</f>
        <v>0</v>
      </c>
    </row>
    <row r="21" spans="1:25" x14ac:dyDescent="0.2">
      <c r="A21" t="s">
        <v>92</v>
      </c>
      <c r="B21">
        <v>20</v>
      </c>
      <c r="C21">
        <v>20</v>
      </c>
      <c r="D21">
        <v>40</v>
      </c>
      <c r="E21">
        <v>30</v>
      </c>
      <c r="F21">
        <v>3</v>
      </c>
      <c r="G21">
        <v>20</v>
      </c>
      <c r="H21">
        <v>32</v>
      </c>
      <c r="I21">
        <v>120</v>
      </c>
      <c r="J21">
        <v>152</v>
      </c>
      <c r="K21">
        <v>41</v>
      </c>
      <c r="L21">
        <v>105000</v>
      </c>
      <c r="M21">
        <v>2250000</v>
      </c>
      <c r="N21">
        <v>22.218812096368801</v>
      </c>
      <c r="O21">
        <v>0</v>
      </c>
      <c r="P21">
        <v>22.218812096368801</v>
      </c>
      <c r="Q21">
        <v>750000</v>
      </c>
      <c r="R21">
        <v>100000</v>
      </c>
      <c r="S21">
        <v>5</v>
      </c>
      <c r="T21">
        <v>2</v>
      </c>
      <c r="U21">
        <v>20</v>
      </c>
      <c r="V21">
        <v>10</v>
      </c>
      <c r="W21">
        <v>0.55000000000000004</v>
      </c>
      <c r="X21">
        <v>5.6117057800292899E-2</v>
      </c>
      <c r="Y21" s="3">
        <f>(N21-'[1]MM-napoli5'!S21)/'[1]MM-napoli5'!S21</f>
        <v>0</v>
      </c>
    </row>
    <row r="22" spans="1:25" x14ac:dyDescent="0.2">
      <c r="A22" t="s">
        <v>93</v>
      </c>
      <c r="B22">
        <v>30</v>
      </c>
      <c r="C22">
        <v>30</v>
      </c>
      <c r="D22">
        <v>60</v>
      </c>
      <c r="E22">
        <v>30</v>
      </c>
      <c r="F22">
        <v>3</v>
      </c>
      <c r="G22">
        <v>30</v>
      </c>
      <c r="H22">
        <v>49</v>
      </c>
      <c r="I22">
        <v>120</v>
      </c>
      <c r="J22">
        <v>169</v>
      </c>
      <c r="K22">
        <v>54</v>
      </c>
      <c r="L22">
        <v>105000</v>
      </c>
      <c r="M22">
        <v>2250000</v>
      </c>
      <c r="N22">
        <v>24.170958900429302</v>
      </c>
      <c r="O22">
        <v>0</v>
      </c>
      <c r="P22">
        <v>24.170958900429302</v>
      </c>
      <c r="Q22">
        <v>1050000</v>
      </c>
      <c r="R22">
        <v>100000</v>
      </c>
      <c r="S22">
        <v>7</v>
      </c>
      <c r="T22">
        <v>2</v>
      </c>
      <c r="U22">
        <v>30</v>
      </c>
      <c r="V22">
        <v>10</v>
      </c>
      <c r="W22">
        <v>0.33</v>
      </c>
      <c r="X22">
        <v>4.14860248565673E-2</v>
      </c>
      <c r="Y22" s="3">
        <f>(N22-'[1]MM-napoli5'!S22)/'[1]MM-napoli5'!S22</f>
        <v>0</v>
      </c>
    </row>
    <row r="23" spans="1:25" x14ac:dyDescent="0.2">
      <c r="A23" t="s">
        <v>94</v>
      </c>
      <c r="B23">
        <v>30</v>
      </c>
      <c r="C23">
        <v>30</v>
      </c>
      <c r="D23">
        <v>60</v>
      </c>
      <c r="E23">
        <v>30</v>
      </c>
      <c r="F23">
        <v>3</v>
      </c>
      <c r="G23">
        <v>30</v>
      </c>
      <c r="H23">
        <v>47</v>
      </c>
      <c r="I23">
        <v>120</v>
      </c>
      <c r="J23">
        <v>167</v>
      </c>
      <c r="K23">
        <v>54</v>
      </c>
      <c r="L23">
        <v>105000</v>
      </c>
      <c r="M23">
        <v>2250000</v>
      </c>
      <c r="N23">
        <v>28.174115038064599</v>
      </c>
      <c r="O23">
        <v>0</v>
      </c>
      <c r="P23">
        <v>28.1741150380645</v>
      </c>
      <c r="Q23">
        <v>900000</v>
      </c>
      <c r="R23">
        <v>100000</v>
      </c>
      <c r="S23">
        <v>6</v>
      </c>
      <c r="T23">
        <v>2</v>
      </c>
      <c r="U23">
        <v>30</v>
      </c>
      <c r="V23">
        <v>13</v>
      </c>
      <c r="W23">
        <v>0.37</v>
      </c>
      <c r="X23">
        <v>5.8081150054931599E-2</v>
      </c>
      <c r="Y23" s="3">
        <f>(N23-'[1]MM-napoli5'!S23)/'[1]MM-napoli5'!S23</f>
        <v>0</v>
      </c>
    </row>
    <row r="24" spans="1:25" x14ac:dyDescent="0.2">
      <c r="A24" t="s">
        <v>95</v>
      </c>
      <c r="B24">
        <v>30</v>
      </c>
      <c r="C24">
        <v>30</v>
      </c>
      <c r="D24">
        <v>60</v>
      </c>
      <c r="E24">
        <v>30</v>
      </c>
      <c r="F24">
        <v>3</v>
      </c>
      <c r="G24">
        <v>30</v>
      </c>
      <c r="H24">
        <v>41</v>
      </c>
      <c r="I24">
        <v>120</v>
      </c>
      <c r="J24">
        <v>161</v>
      </c>
      <c r="K24">
        <v>52</v>
      </c>
      <c r="L24">
        <v>105000</v>
      </c>
      <c r="M24">
        <v>2250000</v>
      </c>
      <c r="N24">
        <v>28.785920280754102</v>
      </c>
      <c r="O24">
        <v>0</v>
      </c>
      <c r="P24">
        <v>28.785920280754102</v>
      </c>
      <c r="Q24">
        <v>1200000</v>
      </c>
      <c r="R24">
        <v>100000</v>
      </c>
      <c r="S24">
        <v>8</v>
      </c>
      <c r="T24">
        <v>2</v>
      </c>
      <c r="U24">
        <v>30</v>
      </c>
      <c r="V24">
        <v>11</v>
      </c>
      <c r="W24">
        <v>0.33</v>
      </c>
      <c r="X24">
        <v>7.4579954147338798E-2</v>
      </c>
      <c r="Y24" s="3">
        <f>(N24-'[1]MM-napoli5'!S24)/'[1]MM-napoli5'!S24</f>
        <v>0</v>
      </c>
    </row>
    <row r="25" spans="1:25" x14ac:dyDescent="0.2">
      <c r="A25" t="s">
        <v>96</v>
      </c>
      <c r="B25">
        <v>30</v>
      </c>
      <c r="C25">
        <v>30</v>
      </c>
      <c r="D25">
        <v>60</v>
      </c>
      <c r="E25">
        <v>30</v>
      </c>
      <c r="F25">
        <v>3</v>
      </c>
      <c r="G25">
        <v>30</v>
      </c>
      <c r="H25">
        <v>44</v>
      </c>
      <c r="I25">
        <v>120</v>
      </c>
      <c r="J25">
        <v>164</v>
      </c>
      <c r="K25">
        <v>68</v>
      </c>
      <c r="L25">
        <v>105000</v>
      </c>
      <c r="M25">
        <v>2250000</v>
      </c>
      <c r="N25">
        <v>42.354737273464401</v>
      </c>
      <c r="O25">
        <v>0</v>
      </c>
      <c r="P25">
        <v>42.354737273464401</v>
      </c>
      <c r="Q25">
        <v>1200000</v>
      </c>
      <c r="R25">
        <v>100000</v>
      </c>
      <c r="S25">
        <v>8</v>
      </c>
      <c r="T25">
        <v>2</v>
      </c>
      <c r="U25">
        <v>30</v>
      </c>
      <c r="V25">
        <v>21</v>
      </c>
      <c r="W25">
        <v>0.4</v>
      </c>
      <c r="X25">
        <v>0.12897181510925201</v>
      </c>
      <c r="Y25" s="3">
        <f>(N25-'[1]MM-napoli5'!S25)/'[1]MM-napoli5'!S25</f>
        <v>0</v>
      </c>
    </row>
    <row r="26" spans="1:25" x14ac:dyDescent="0.2">
      <c r="A26" t="s">
        <v>97</v>
      </c>
      <c r="B26">
        <v>30</v>
      </c>
      <c r="C26">
        <v>30</v>
      </c>
      <c r="D26">
        <v>60</v>
      </c>
      <c r="E26">
        <v>30</v>
      </c>
      <c r="F26">
        <v>3</v>
      </c>
      <c r="G26">
        <v>30</v>
      </c>
      <c r="H26">
        <v>40</v>
      </c>
      <c r="I26">
        <v>120</v>
      </c>
      <c r="J26">
        <v>160</v>
      </c>
      <c r="K26">
        <v>53</v>
      </c>
      <c r="L26">
        <v>105000</v>
      </c>
      <c r="M26">
        <v>2250000</v>
      </c>
      <c r="N26">
        <v>30.668838719957101</v>
      </c>
      <c r="O26">
        <v>0</v>
      </c>
      <c r="P26">
        <v>30.668838719957101</v>
      </c>
      <c r="Q26">
        <v>1350000</v>
      </c>
      <c r="R26">
        <v>100000</v>
      </c>
      <c r="S26">
        <v>9</v>
      </c>
      <c r="T26">
        <v>2</v>
      </c>
      <c r="U26">
        <v>30</v>
      </c>
      <c r="V26">
        <v>14</v>
      </c>
      <c r="W26">
        <v>0.53</v>
      </c>
      <c r="X26">
        <v>7.60388374328613E-2</v>
      </c>
      <c r="Y26" s="3">
        <f>(N26-'[1]MM-napoli5'!S26)/'[1]MM-napoli5'!S26</f>
        <v>0</v>
      </c>
    </row>
    <row r="27" spans="1:25" x14ac:dyDescent="0.2">
      <c r="A27" t="s">
        <v>98</v>
      </c>
      <c r="B27">
        <v>30</v>
      </c>
      <c r="C27">
        <v>30</v>
      </c>
      <c r="D27">
        <v>60</v>
      </c>
      <c r="E27">
        <v>30</v>
      </c>
      <c r="F27">
        <v>3</v>
      </c>
      <c r="G27">
        <v>30</v>
      </c>
      <c r="H27">
        <v>53</v>
      </c>
      <c r="I27">
        <v>120</v>
      </c>
      <c r="J27">
        <v>173</v>
      </c>
      <c r="K27">
        <v>57</v>
      </c>
      <c r="L27">
        <v>105000</v>
      </c>
      <c r="M27">
        <v>2250000</v>
      </c>
      <c r="N27">
        <v>21.7491655134518</v>
      </c>
      <c r="O27">
        <v>0</v>
      </c>
      <c r="P27">
        <v>21.7491655134518</v>
      </c>
      <c r="Q27">
        <v>600000</v>
      </c>
      <c r="R27">
        <v>100000</v>
      </c>
      <c r="S27">
        <v>4</v>
      </c>
      <c r="T27">
        <v>2</v>
      </c>
      <c r="U27">
        <v>30</v>
      </c>
      <c r="V27">
        <v>12</v>
      </c>
      <c r="W27">
        <v>0.17</v>
      </c>
      <c r="X27">
        <v>4.3817043304443297E-2</v>
      </c>
      <c r="Y27" s="3">
        <f>(N27-'[1]MM-napoli5'!S27)/'[1]MM-napoli5'!S27</f>
        <v>0</v>
      </c>
    </row>
    <row r="28" spans="1:25" x14ac:dyDescent="0.2">
      <c r="A28" t="s">
        <v>99</v>
      </c>
      <c r="B28">
        <v>30</v>
      </c>
      <c r="C28">
        <v>30</v>
      </c>
      <c r="D28">
        <v>60</v>
      </c>
      <c r="E28">
        <v>30</v>
      </c>
      <c r="F28">
        <v>3</v>
      </c>
      <c r="G28">
        <v>30</v>
      </c>
      <c r="H28">
        <v>50</v>
      </c>
      <c r="I28">
        <v>120</v>
      </c>
      <c r="J28">
        <v>170</v>
      </c>
      <c r="K28">
        <v>63</v>
      </c>
      <c r="L28">
        <v>105000</v>
      </c>
      <c r="M28">
        <v>2250000</v>
      </c>
      <c r="N28">
        <v>30.043915146355602</v>
      </c>
      <c r="O28" s="1">
        <v>3.6586513594143199E-5</v>
      </c>
      <c r="P28">
        <v>30.0428159442456</v>
      </c>
      <c r="Q28">
        <v>750000</v>
      </c>
      <c r="R28">
        <v>100000</v>
      </c>
      <c r="S28">
        <v>5</v>
      </c>
      <c r="T28">
        <v>2</v>
      </c>
      <c r="U28">
        <v>30</v>
      </c>
      <c r="V28">
        <v>17</v>
      </c>
      <c r="W28">
        <v>0.4</v>
      </c>
      <c r="X28">
        <v>8.7725162506103502E-2</v>
      </c>
      <c r="Y28" s="3">
        <f>(N28-'[1]MM-napoli5'!S28)/'[1]MM-napoli5'!S28</f>
        <v>3.4292699930525701E-15</v>
      </c>
    </row>
    <row r="29" spans="1:25" x14ac:dyDescent="0.2">
      <c r="A29" t="s">
        <v>100</v>
      </c>
      <c r="B29">
        <v>30</v>
      </c>
      <c r="C29">
        <v>30</v>
      </c>
      <c r="D29">
        <v>60</v>
      </c>
      <c r="E29">
        <v>30</v>
      </c>
      <c r="F29">
        <v>3</v>
      </c>
      <c r="G29">
        <v>30</v>
      </c>
      <c r="H29">
        <v>41</v>
      </c>
      <c r="I29">
        <v>120</v>
      </c>
      <c r="J29">
        <v>161</v>
      </c>
      <c r="K29">
        <v>66</v>
      </c>
      <c r="L29">
        <v>105000</v>
      </c>
      <c r="M29">
        <v>2250000</v>
      </c>
      <c r="N29">
        <v>39.165988623385701</v>
      </c>
      <c r="O29">
        <v>0</v>
      </c>
      <c r="P29">
        <v>39.165988623385701</v>
      </c>
      <c r="Q29">
        <v>1350000</v>
      </c>
      <c r="R29">
        <v>100000</v>
      </c>
      <c r="S29">
        <v>9</v>
      </c>
      <c r="T29">
        <v>2</v>
      </c>
      <c r="U29">
        <v>30</v>
      </c>
      <c r="V29">
        <v>21</v>
      </c>
      <c r="W29">
        <v>0.5</v>
      </c>
      <c r="X29">
        <v>0.12557101249694799</v>
      </c>
      <c r="Y29" s="3">
        <f>(N29-'[1]MM-napoli5'!S29)/'[1]MM-napoli5'!S29</f>
        <v>-2.5398563014190697E-15</v>
      </c>
    </row>
    <row r="30" spans="1:25" x14ac:dyDescent="0.2">
      <c r="A30" t="s">
        <v>101</v>
      </c>
      <c r="B30">
        <v>30</v>
      </c>
      <c r="C30">
        <v>30</v>
      </c>
      <c r="D30">
        <v>60</v>
      </c>
      <c r="E30">
        <v>30</v>
      </c>
      <c r="F30">
        <v>3</v>
      </c>
      <c r="G30">
        <v>30</v>
      </c>
      <c r="H30">
        <v>46</v>
      </c>
      <c r="I30">
        <v>120</v>
      </c>
      <c r="J30">
        <v>166</v>
      </c>
      <c r="K30">
        <v>60</v>
      </c>
      <c r="L30">
        <v>105000</v>
      </c>
      <c r="M30">
        <v>2250000</v>
      </c>
      <c r="N30">
        <v>36.072375318939301</v>
      </c>
      <c r="O30">
        <v>0</v>
      </c>
      <c r="P30">
        <v>36.072375318939301</v>
      </c>
      <c r="Q30">
        <v>1350000</v>
      </c>
      <c r="R30">
        <v>100000</v>
      </c>
      <c r="S30">
        <v>9</v>
      </c>
      <c r="T30">
        <v>2</v>
      </c>
      <c r="U30">
        <v>30</v>
      </c>
      <c r="V30">
        <v>15</v>
      </c>
      <c r="W30">
        <v>0.47</v>
      </c>
      <c r="X30">
        <v>9.0689897537231404E-2</v>
      </c>
      <c r="Y30" s="3">
        <f>(N30-'[1]MM-napoli5'!S30)/'[1]MM-napoli5'!S30</f>
        <v>0</v>
      </c>
    </row>
    <row r="31" spans="1:25" x14ac:dyDescent="0.2">
      <c r="A31" t="s">
        <v>102</v>
      </c>
      <c r="B31">
        <v>30</v>
      </c>
      <c r="C31">
        <v>30</v>
      </c>
      <c r="D31">
        <v>60</v>
      </c>
      <c r="E31">
        <v>30</v>
      </c>
      <c r="F31">
        <v>3</v>
      </c>
      <c r="G31">
        <v>30</v>
      </c>
      <c r="H31">
        <v>47</v>
      </c>
      <c r="I31">
        <v>120</v>
      </c>
      <c r="J31">
        <v>167</v>
      </c>
      <c r="K31">
        <v>57</v>
      </c>
      <c r="L31">
        <v>105000</v>
      </c>
      <c r="M31">
        <v>2250000</v>
      </c>
      <c r="N31">
        <v>29.3249322828351</v>
      </c>
      <c r="O31">
        <v>0</v>
      </c>
      <c r="P31">
        <v>29.3249322828351</v>
      </c>
      <c r="Q31">
        <v>900000</v>
      </c>
      <c r="R31">
        <v>100000</v>
      </c>
      <c r="S31">
        <v>6</v>
      </c>
      <c r="T31">
        <v>2</v>
      </c>
      <c r="U31">
        <v>30</v>
      </c>
      <c r="V31">
        <v>13</v>
      </c>
      <c r="W31">
        <v>0.37</v>
      </c>
      <c r="X31">
        <v>9.8134040832519503E-2</v>
      </c>
      <c r="Y31" s="3">
        <f>(N31-'[1]MM-napoli5'!S31)/'[1]MM-napoli5'!S31</f>
        <v>0</v>
      </c>
    </row>
    <row r="32" spans="1:25" x14ac:dyDescent="0.2">
      <c r="A32" t="s">
        <v>103</v>
      </c>
      <c r="B32">
        <v>40</v>
      </c>
      <c r="C32">
        <v>40</v>
      </c>
      <c r="D32">
        <v>80</v>
      </c>
      <c r="E32">
        <v>30</v>
      </c>
      <c r="F32">
        <v>3</v>
      </c>
      <c r="G32">
        <v>40</v>
      </c>
      <c r="H32">
        <v>60</v>
      </c>
      <c r="I32">
        <v>120</v>
      </c>
      <c r="J32">
        <v>180</v>
      </c>
      <c r="K32">
        <v>64</v>
      </c>
      <c r="L32">
        <v>105000</v>
      </c>
      <c r="M32">
        <v>2250000</v>
      </c>
      <c r="N32">
        <v>33.4651381074003</v>
      </c>
      <c r="O32">
        <v>0</v>
      </c>
      <c r="P32">
        <v>33.4651381074003</v>
      </c>
      <c r="Q32">
        <v>1200000</v>
      </c>
      <c r="R32">
        <v>100000</v>
      </c>
      <c r="S32">
        <v>8</v>
      </c>
      <c r="T32">
        <v>2</v>
      </c>
      <c r="U32">
        <v>40</v>
      </c>
      <c r="V32">
        <v>12</v>
      </c>
      <c r="W32">
        <v>0.38</v>
      </c>
      <c r="X32">
        <v>8.1711053848266602E-2</v>
      </c>
      <c r="Y32" s="3">
        <f>(N32-'[1]MM-napoli5'!S32)/'[1]MM-napoli5'!S32</f>
        <v>0</v>
      </c>
    </row>
    <row r="33" spans="1:25" x14ac:dyDescent="0.2">
      <c r="A33" t="s">
        <v>104</v>
      </c>
      <c r="B33">
        <v>40</v>
      </c>
      <c r="C33">
        <v>40</v>
      </c>
      <c r="D33">
        <v>80</v>
      </c>
      <c r="E33">
        <v>30</v>
      </c>
      <c r="F33">
        <v>3</v>
      </c>
      <c r="G33">
        <v>40</v>
      </c>
      <c r="H33">
        <v>68</v>
      </c>
      <c r="I33">
        <v>120</v>
      </c>
      <c r="J33">
        <v>188</v>
      </c>
      <c r="K33">
        <v>83</v>
      </c>
      <c r="L33">
        <v>105000</v>
      </c>
      <c r="M33">
        <v>2250000</v>
      </c>
      <c r="N33">
        <v>45.726008790425603</v>
      </c>
      <c r="O33">
        <v>0</v>
      </c>
      <c r="P33">
        <v>45.726008790425603</v>
      </c>
      <c r="Q33">
        <v>1050000</v>
      </c>
      <c r="R33">
        <v>100000</v>
      </c>
      <c r="S33">
        <v>7</v>
      </c>
      <c r="T33">
        <v>2</v>
      </c>
      <c r="U33">
        <v>40</v>
      </c>
      <c r="V33">
        <v>18</v>
      </c>
      <c r="W33">
        <v>0.38</v>
      </c>
      <c r="X33">
        <v>0.154803991317749</v>
      </c>
      <c r="Y33" s="3">
        <f>(N33-'[1]MM-napoli5'!S33)/'[1]MM-napoli5'!S33</f>
        <v>0</v>
      </c>
    </row>
    <row r="34" spans="1:25" x14ac:dyDescent="0.2">
      <c r="A34" t="s">
        <v>105</v>
      </c>
      <c r="B34">
        <v>40</v>
      </c>
      <c r="C34">
        <v>40</v>
      </c>
      <c r="D34">
        <v>80</v>
      </c>
      <c r="E34">
        <v>30</v>
      </c>
      <c r="F34">
        <v>3</v>
      </c>
      <c r="G34">
        <v>40</v>
      </c>
      <c r="H34">
        <v>58</v>
      </c>
      <c r="I34">
        <v>120</v>
      </c>
      <c r="J34">
        <v>178</v>
      </c>
      <c r="K34">
        <v>78</v>
      </c>
      <c r="L34">
        <v>105000</v>
      </c>
      <c r="M34">
        <v>2250000</v>
      </c>
      <c r="N34">
        <v>34.744323996596101</v>
      </c>
      <c r="O34">
        <v>0</v>
      </c>
      <c r="P34">
        <v>34.744323996596101</v>
      </c>
      <c r="Q34">
        <v>1200000</v>
      </c>
      <c r="R34">
        <v>100000</v>
      </c>
      <c r="S34">
        <v>8</v>
      </c>
      <c r="T34">
        <v>2</v>
      </c>
      <c r="U34">
        <v>40</v>
      </c>
      <c r="V34">
        <v>20</v>
      </c>
      <c r="W34">
        <v>0.3</v>
      </c>
      <c r="X34">
        <v>0.160907983779907</v>
      </c>
      <c r="Y34" s="3">
        <f>(N34-'[1]MM-napoli5'!S34)/'[1]MM-napoli5'!S34</f>
        <v>0</v>
      </c>
    </row>
    <row r="35" spans="1:25" x14ac:dyDescent="0.2">
      <c r="A35" t="s">
        <v>106</v>
      </c>
      <c r="B35">
        <v>40</v>
      </c>
      <c r="C35">
        <v>40</v>
      </c>
      <c r="D35">
        <v>80</v>
      </c>
      <c r="E35">
        <v>30</v>
      </c>
      <c r="F35">
        <v>3</v>
      </c>
      <c r="G35">
        <v>40</v>
      </c>
      <c r="H35">
        <v>53</v>
      </c>
      <c r="I35">
        <v>120</v>
      </c>
      <c r="J35">
        <v>173</v>
      </c>
      <c r="K35">
        <v>78</v>
      </c>
      <c r="L35">
        <v>105000</v>
      </c>
      <c r="M35">
        <v>2250000</v>
      </c>
      <c r="N35">
        <v>42.393048266850698</v>
      </c>
      <c r="O35">
        <v>0</v>
      </c>
      <c r="P35">
        <v>42.393048266850698</v>
      </c>
      <c r="Q35">
        <v>1200000</v>
      </c>
      <c r="R35">
        <v>100000</v>
      </c>
      <c r="S35">
        <v>8</v>
      </c>
      <c r="T35">
        <v>2</v>
      </c>
      <c r="U35">
        <v>40</v>
      </c>
      <c r="V35">
        <v>22</v>
      </c>
      <c r="W35">
        <v>0.42</v>
      </c>
      <c r="X35">
        <v>0.16063499450683499</v>
      </c>
      <c r="Y35" s="3">
        <f>(N35-'[1]MM-napoli5'!S35)/'[1]MM-napoli5'!S35</f>
        <v>-2.346516400053241E-15</v>
      </c>
    </row>
    <row r="36" spans="1:25" x14ac:dyDescent="0.2">
      <c r="A36" t="s">
        <v>107</v>
      </c>
      <c r="B36">
        <v>40</v>
      </c>
      <c r="C36">
        <v>40</v>
      </c>
      <c r="D36">
        <v>80</v>
      </c>
      <c r="E36">
        <v>30</v>
      </c>
      <c r="F36">
        <v>3</v>
      </c>
      <c r="G36">
        <v>40</v>
      </c>
      <c r="H36">
        <v>50</v>
      </c>
      <c r="I36">
        <v>120</v>
      </c>
      <c r="J36">
        <v>170</v>
      </c>
      <c r="K36">
        <v>75</v>
      </c>
      <c r="L36">
        <v>105000</v>
      </c>
      <c r="M36">
        <v>2250000</v>
      </c>
      <c r="N36">
        <v>37.310520820975597</v>
      </c>
      <c r="O36">
        <v>0</v>
      </c>
      <c r="P36">
        <v>37.310520820975597</v>
      </c>
      <c r="Q36">
        <v>1050000</v>
      </c>
      <c r="R36">
        <v>100000</v>
      </c>
      <c r="S36">
        <v>7</v>
      </c>
      <c r="T36">
        <v>2</v>
      </c>
      <c r="U36">
        <v>40</v>
      </c>
      <c r="V36">
        <v>19</v>
      </c>
      <c r="W36">
        <v>0.45</v>
      </c>
      <c r="X36">
        <v>0.138388156890869</v>
      </c>
      <c r="Y36" s="3">
        <f>(N36-'[1]MM-napoli5'!S36)/'[1]MM-napoli5'!S36</f>
        <v>0</v>
      </c>
    </row>
    <row r="37" spans="1:25" x14ac:dyDescent="0.2">
      <c r="A37" t="s">
        <v>108</v>
      </c>
      <c r="B37">
        <v>40</v>
      </c>
      <c r="C37">
        <v>40</v>
      </c>
      <c r="D37">
        <v>80</v>
      </c>
      <c r="E37">
        <v>30</v>
      </c>
      <c r="F37">
        <v>3</v>
      </c>
      <c r="G37">
        <v>40</v>
      </c>
      <c r="H37">
        <v>57</v>
      </c>
      <c r="I37">
        <v>120</v>
      </c>
      <c r="J37">
        <v>177</v>
      </c>
      <c r="K37">
        <v>71</v>
      </c>
      <c r="L37">
        <v>105000</v>
      </c>
      <c r="M37">
        <v>2250000</v>
      </c>
      <c r="N37">
        <v>34.648496910042098</v>
      </c>
      <c r="O37">
        <v>0</v>
      </c>
      <c r="P37">
        <v>34.648496910042098</v>
      </c>
      <c r="Q37">
        <v>1050000</v>
      </c>
      <c r="R37">
        <v>100000</v>
      </c>
      <c r="S37">
        <v>7</v>
      </c>
      <c r="T37">
        <v>2</v>
      </c>
      <c r="U37">
        <v>40</v>
      </c>
      <c r="V37">
        <v>16</v>
      </c>
      <c r="W37">
        <v>0.42</v>
      </c>
      <c r="X37">
        <v>0.119357109069824</v>
      </c>
      <c r="Y37" s="3">
        <f>(N37-'[1]MM-napoli5'!S37)/'[1]MM-napoli5'!S37</f>
        <v>2.8710042823699925E-15</v>
      </c>
    </row>
    <row r="38" spans="1:25" x14ac:dyDescent="0.2">
      <c r="A38" t="s">
        <v>109</v>
      </c>
      <c r="B38">
        <v>40</v>
      </c>
      <c r="C38">
        <v>40</v>
      </c>
      <c r="D38">
        <v>80</v>
      </c>
      <c r="E38">
        <v>30</v>
      </c>
      <c r="F38">
        <v>3</v>
      </c>
      <c r="G38">
        <v>40</v>
      </c>
      <c r="H38">
        <v>58</v>
      </c>
      <c r="I38">
        <v>120</v>
      </c>
      <c r="J38">
        <v>178</v>
      </c>
      <c r="K38">
        <v>74</v>
      </c>
      <c r="L38">
        <v>105000</v>
      </c>
      <c r="M38">
        <v>2250000</v>
      </c>
      <c r="N38">
        <v>39.012260954671298</v>
      </c>
      <c r="O38">
        <v>0</v>
      </c>
      <c r="P38">
        <v>39.012260954671298</v>
      </c>
      <c r="Q38">
        <v>900000</v>
      </c>
      <c r="R38">
        <v>100000</v>
      </c>
      <c r="S38">
        <v>6</v>
      </c>
      <c r="T38">
        <v>2</v>
      </c>
      <c r="U38">
        <v>40</v>
      </c>
      <c r="V38">
        <v>19</v>
      </c>
      <c r="W38">
        <v>0.4</v>
      </c>
      <c r="X38">
        <v>0.139452934265136</v>
      </c>
      <c r="Y38" s="3">
        <f>(N38-'[1]MM-napoli5'!S38)/'[1]MM-napoli5'!S38</f>
        <v>0</v>
      </c>
    </row>
    <row r="39" spans="1:25" x14ac:dyDescent="0.2">
      <c r="A39" t="s">
        <v>110</v>
      </c>
      <c r="B39">
        <v>40</v>
      </c>
      <c r="C39">
        <v>40</v>
      </c>
      <c r="D39">
        <v>80</v>
      </c>
      <c r="E39">
        <v>30</v>
      </c>
      <c r="F39">
        <v>3</v>
      </c>
      <c r="G39">
        <v>40</v>
      </c>
      <c r="H39">
        <v>64</v>
      </c>
      <c r="I39">
        <v>120</v>
      </c>
      <c r="J39">
        <v>184</v>
      </c>
      <c r="K39">
        <v>70</v>
      </c>
      <c r="L39">
        <v>105000</v>
      </c>
      <c r="M39">
        <v>2250000</v>
      </c>
      <c r="N39">
        <v>29.787682163917101</v>
      </c>
      <c r="O39">
        <v>0</v>
      </c>
      <c r="P39">
        <v>29.787682163917101</v>
      </c>
      <c r="Q39">
        <v>1350000</v>
      </c>
      <c r="R39">
        <v>100000</v>
      </c>
      <c r="S39">
        <v>9</v>
      </c>
      <c r="T39">
        <v>2</v>
      </c>
      <c r="U39">
        <v>40</v>
      </c>
      <c r="V39">
        <v>14</v>
      </c>
      <c r="W39">
        <v>0.33</v>
      </c>
      <c r="X39">
        <v>0.12016797065734799</v>
      </c>
      <c r="Y39" s="3">
        <f>(N39-'[1]MM-napoli5'!S39)/'[1]MM-napoli5'!S39</f>
        <v>0</v>
      </c>
    </row>
    <row r="40" spans="1:25" x14ac:dyDescent="0.2">
      <c r="A40" t="s">
        <v>111</v>
      </c>
      <c r="B40">
        <v>40</v>
      </c>
      <c r="C40">
        <v>40</v>
      </c>
      <c r="D40">
        <v>80</v>
      </c>
      <c r="E40">
        <v>30</v>
      </c>
      <c r="F40">
        <v>3</v>
      </c>
      <c r="G40">
        <v>40</v>
      </c>
      <c r="H40">
        <v>57</v>
      </c>
      <c r="I40">
        <v>120</v>
      </c>
      <c r="J40">
        <v>177</v>
      </c>
      <c r="K40">
        <v>75</v>
      </c>
      <c r="L40">
        <v>105000</v>
      </c>
      <c r="M40">
        <v>2250000</v>
      </c>
      <c r="N40">
        <v>38.3377909130257</v>
      </c>
      <c r="O40">
        <v>0</v>
      </c>
      <c r="P40">
        <v>38.3377909130257</v>
      </c>
      <c r="Q40">
        <v>600000</v>
      </c>
      <c r="R40">
        <v>100000</v>
      </c>
      <c r="S40">
        <v>4</v>
      </c>
      <c r="T40">
        <v>2</v>
      </c>
      <c r="U40">
        <v>40</v>
      </c>
      <c r="V40">
        <v>17</v>
      </c>
      <c r="W40">
        <v>0.33</v>
      </c>
      <c r="X40">
        <v>0.109158992767333</v>
      </c>
      <c r="Y40" s="3">
        <f>(N40-'[1]MM-napoli5'!S40)/'[1]MM-napoli5'!S40</f>
        <v>0</v>
      </c>
    </row>
    <row r="41" spans="1:25" x14ac:dyDescent="0.2">
      <c r="A41" t="s">
        <v>112</v>
      </c>
      <c r="B41">
        <v>40</v>
      </c>
      <c r="C41">
        <v>40</v>
      </c>
      <c r="D41">
        <v>80</v>
      </c>
      <c r="E41">
        <v>30</v>
      </c>
      <c r="F41">
        <v>3</v>
      </c>
      <c r="G41">
        <v>40</v>
      </c>
      <c r="H41">
        <v>62</v>
      </c>
      <c r="I41">
        <v>120</v>
      </c>
      <c r="J41">
        <v>182</v>
      </c>
      <c r="K41">
        <v>80</v>
      </c>
      <c r="L41">
        <v>105000</v>
      </c>
      <c r="M41">
        <v>2250000</v>
      </c>
      <c r="N41">
        <v>42.140363832648198</v>
      </c>
      <c r="O41">
        <v>0</v>
      </c>
      <c r="P41">
        <v>42.140363832648198</v>
      </c>
      <c r="Q41">
        <v>1050000</v>
      </c>
      <c r="R41">
        <v>100000</v>
      </c>
      <c r="S41">
        <v>7</v>
      </c>
      <c r="T41">
        <v>2</v>
      </c>
      <c r="U41">
        <v>40</v>
      </c>
      <c r="V41">
        <v>19</v>
      </c>
      <c r="W41">
        <v>0.35</v>
      </c>
      <c r="X41">
        <v>0.15090990066528301</v>
      </c>
      <c r="Y41" s="3">
        <f>(N41-'[1]MM-napoli5'!S41)/'[1]MM-napoli5'!S41</f>
        <v>-1.3640290583615936E-6</v>
      </c>
    </row>
    <row r="42" spans="1:25" x14ac:dyDescent="0.2">
      <c r="A42" t="s">
        <v>113</v>
      </c>
      <c r="B42">
        <v>50</v>
      </c>
      <c r="C42">
        <v>50</v>
      </c>
      <c r="D42">
        <v>100</v>
      </c>
      <c r="E42">
        <v>30</v>
      </c>
      <c r="F42">
        <v>3</v>
      </c>
      <c r="G42">
        <v>50</v>
      </c>
      <c r="H42">
        <v>74</v>
      </c>
      <c r="I42">
        <v>120</v>
      </c>
      <c r="J42">
        <v>194</v>
      </c>
      <c r="K42">
        <v>82</v>
      </c>
      <c r="L42">
        <v>105000</v>
      </c>
      <c r="M42">
        <v>2250000</v>
      </c>
      <c r="N42">
        <v>40.9176513691704</v>
      </c>
      <c r="O42">
        <v>0</v>
      </c>
      <c r="P42">
        <v>40.9176513691704</v>
      </c>
      <c r="Q42">
        <v>1350000</v>
      </c>
      <c r="R42">
        <v>100000</v>
      </c>
      <c r="S42">
        <v>9</v>
      </c>
      <c r="T42">
        <v>2</v>
      </c>
      <c r="U42">
        <v>50</v>
      </c>
      <c r="V42">
        <v>17</v>
      </c>
      <c r="W42">
        <v>0.4</v>
      </c>
      <c r="X42">
        <v>0.15218305587768499</v>
      </c>
      <c r="Y42" s="3">
        <f>(N42-'[1]MM-napoli5'!S42)/'[1]MM-napoli5'!S42</f>
        <v>0</v>
      </c>
    </row>
    <row r="43" spans="1:25" x14ac:dyDescent="0.2">
      <c r="A43" t="s">
        <v>114</v>
      </c>
      <c r="B43">
        <v>50</v>
      </c>
      <c r="C43">
        <v>50</v>
      </c>
      <c r="D43">
        <v>100</v>
      </c>
      <c r="E43">
        <v>30</v>
      </c>
      <c r="F43">
        <v>3</v>
      </c>
      <c r="G43">
        <v>50</v>
      </c>
      <c r="H43">
        <v>72</v>
      </c>
      <c r="I43">
        <v>120</v>
      </c>
      <c r="J43">
        <v>192</v>
      </c>
      <c r="K43">
        <v>89</v>
      </c>
      <c r="L43">
        <v>105000</v>
      </c>
      <c r="M43">
        <v>2250000</v>
      </c>
      <c r="N43">
        <v>43.5856472760941</v>
      </c>
      <c r="O43">
        <v>0</v>
      </c>
      <c r="P43">
        <v>43.5856472760941</v>
      </c>
      <c r="Q43">
        <v>1200000</v>
      </c>
      <c r="R43">
        <v>100000</v>
      </c>
      <c r="S43">
        <v>8</v>
      </c>
      <c r="T43">
        <v>2</v>
      </c>
      <c r="U43">
        <v>50</v>
      </c>
      <c r="V43">
        <v>20</v>
      </c>
      <c r="W43">
        <v>0.4</v>
      </c>
      <c r="X43">
        <v>0.130799055099487</v>
      </c>
      <c r="Y43" s="3">
        <f>(N43-'[1]MM-napoli5'!S43)/'[1]MM-napoli5'!S43</f>
        <v>0</v>
      </c>
    </row>
    <row r="44" spans="1:25" x14ac:dyDescent="0.2">
      <c r="A44" t="s">
        <v>115</v>
      </c>
      <c r="B44">
        <v>50</v>
      </c>
      <c r="C44">
        <v>50</v>
      </c>
      <c r="D44">
        <v>100</v>
      </c>
      <c r="E44">
        <v>30</v>
      </c>
      <c r="F44">
        <v>3</v>
      </c>
      <c r="G44">
        <v>50</v>
      </c>
      <c r="H44">
        <v>66</v>
      </c>
      <c r="I44">
        <v>120</v>
      </c>
      <c r="J44">
        <v>186</v>
      </c>
      <c r="K44">
        <v>88</v>
      </c>
      <c r="L44">
        <v>105000</v>
      </c>
      <c r="M44">
        <v>2250000</v>
      </c>
      <c r="N44">
        <v>54.704181472200901</v>
      </c>
      <c r="O44">
        <v>0</v>
      </c>
      <c r="P44">
        <v>54.704181472200901</v>
      </c>
      <c r="Q44">
        <v>1950000</v>
      </c>
      <c r="R44">
        <v>100000</v>
      </c>
      <c r="S44">
        <v>13</v>
      </c>
      <c r="T44">
        <v>2</v>
      </c>
      <c r="U44">
        <v>50</v>
      </c>
      <c r="V44">
        <v>25</v>
      </c>
      <c r="W44">
        <v>0.64</v>
      </c>
      <c r="X44">
        <v>0.17360186576843201</v>
      </c>
      <c r="Y44" s="3">
        <f>(N44-'[1]MM-napoli5'!S44)/'[1]MM-napoli5'!S44</f>
        <v>-1.1556833090105243E-5</v>
      </c>
    </row>
    <row r="45" spans="1:25" x14ac:dyDescent="0.2">
      <c r="A45" t="s">
        <v>116</v>
      </c>
      <c r="B45">
        <v>50</v>
      </c>
      <c r="C45">
        <v>50</v>
      </c>
      <c r="D45">
        <v>100</v>
      </c>
      <c r="E45">
        <v>30</v>
      </c>
      <c r="F45">
        <v>3</v>
      </c>
      <c r="G45">
        <v>50</v>
      </c>
      <c r="H45">
        <v>70</v>
      </c>
      <c r="I45">
        <v>120</v>
      </c>
      <c r="J45">
        <v>190</v>
      </c>
      <c r="K45">
        <v>100</v>
      </c>
      <c r="L45">
        <v>105000</v>
      </c>
      <c r="M45">
        <v>2250000</v>
      </c>
      <c r="N45">
        <v>51.555063488425802</v>
      </c>
      <c r="O45">
        <v>0</v>
      </c>
      <c r="P45">
        <v>51.555063488425802</v>
      </c>
      <c r="Q45">
        <v>900000</v>
      </c>
      <c r="R45">
        <v>100000</v>
      </c>
      <c r="S45">
        <v>6</v>
      </c>
      <c r="T45">
        <v>2</v>
      </c>
      <c r="U45">
        <v>50</v>
      </c>
      <c r="V45">
        <v>27</v>
      </c>
      <c r="W45">
        <v>0.32</v>
      </c>
      <c r="X45">
        <v>0.20654797554016099</v>
      </c>
      <c r="Y45" s="3">
        <f>(N45-'[1]MM-napoli5'!S45)/'[1]MM-napoli5'!S45</f>
        <v>0</v>
      </c>
    </row>
    <row r="46" spans="1:25" x14ac:dyDescent="0.2">
      <c r="A46" t="s">
        <v>117</v>
      </c>
      <c r="B46">
        <v>50</v>
      </c>
      <c r="C46">
        <v>50</v>
      </c>
      <c r="D46">
        <v>100</v>
      </c>
      <c r="E46">
        <v>30</v>
      </c>
      <c r="F46">
        <v>3</v>
      </c>
      <c r="G46">
        <v>50</v>
      </c>
      <c r="H46">
        <v>72</v>
      </c>
      <c r="I46">
        <v>120</v>
      </c>
      <c r="J46">
        <v>192</v>
      </c>
      <c r="K46">
        <v>105</v>
      </c>
      <c r="L46">
        <v>105000</v>
      </c>
      <c r="M46">
        <v>2250000</v>
      </c>
      <c r="N46">
        <v>61.221461321562401</v>
      </c>
      <c r="O46">
        <v>0</v>
      </c>
      <c r="P46">
        <v>61.221461321562401</v>
      </c>
      <c r="Q46">
        <v>1500000</v>
      </c>
      <c r="R46">
        <v>100000</v>
      </c>
      <c r="S46">
        <v>10</v>
      </c>
      <c r="T46">
        <v>2</v>
      </c>
      <c r="U46">
        <v>50</v>
      </c>
      <c r="V46">
        <v>27</v>
      </c>
      <c r="W46">
        <v>0.48</v>
      </c>
      <c r="X46">
        <v>0.20051193237304599</v>
      </c>
      <c r="Y46" s="3">
        <f>(N46-'[1]MM-napoli5'!S46)/'[1]MM-napoli5'!S46</f>
        <v>0</v>
      </c>
    </row>
    <row r="47" spans="1:25" x14ac:dyDescent="0.2">
      <c r="A47" t="s">
        <v>118</v>
      </c>
      <c r="B47">
        <v>50</v>
      </c>
      <c r="C47">
        <v>50</v>
      </c>
      <c r="D47">
        <v>100</v>
      </c>
      <c r="E47">
        <v>30</v>
      </c>
      <c r="F47">
        <v>3</v>
      </c>
      <c r="G47">
        <v>50</v>
      </c>
      <c r="H47">
        <v>82</v>
      </c>
      <c r="I47">
        <v>120</v>
      </c>
      <c r="J47">
        <v>202</v>
      </c>
      <c r="K47">
        <v>100</v>
      </c>
      <c r="L47">
        <v>105000</v>
      </c>
      <c r="M47">
        <v>2250000</v>
      </c>
      <c r="N47">
        <v>48.7368849048732</v>
      </c>
      <c r="O47">
        <v>0</v>
      </c>
      <c r="P47">
        <v>48.7368849048732</v>
      </c>
      <c r="Q47">
        <v>1350000</v>
      </c>
      <c r="R47">
        <v>100000</v>
      </c>
      <c r="S47">
        <v>9</v>
      </c>
      <c r="T47">
        <v>2</v>
      </c>
      <c r="U47">
        <v>50</v>
      </c>
      <c r="V47">
        <v>21</v>
      </c>
      <c r="W47">
        <v>0.34</v>
      </c>
      <c r="X47">
        <v>0.171558141708374</v>
      </c>
      <c r="Y47" s="3">
        <f>(N47-'[1]MM-napoli5'!S47)/'[1]MM-napoli5'!S47</f>
        <v>0</v>
      </c>
    </row>
    <row r="48" spans="1:25" x14ac:dyDescent="0.2">
      <c r="A48" t="s">
        <v>119</v>
      </c>
      <c r="B48">
        <v>50</v>
      </c>
      <c r="C48">
        <v>50</v>
      </c>
      <c r="D48">
        <v>100</v>
      </c>
      <c r="E48">
        <v>30</v>
      </c>
      <c r="F48">
        <v>3</v>
      </c>
      <c r="G48">
        <v>50</v>
      </c>
      <c r="H48">
        <v>65</v>
      </c>
      <c r="I48">
        <v>120</v>
      </c>
      <c r="J48">
        <v>185</v>
      </c>
      <c r="K48">
        <v>91</v>
      </c>
      <c r="L48">
        <v>105000</v>
      </c>
      <c r="M48">
        <v>2250000</v>
      </c>
      <c r="N48">
        <v>45.675310756066899</v>
      </c>
      <c r="O48">
        <v>0</v>
      </c>
      <c r="P48">
        <v>45.675310756066899</v>
      </c>
      <c r="Q48">
        <v>1350000</v>
      </c>
      <c r="R48">
        <v>100000</v>
      </c>
      <c r="S48">
        <v>9</v>
      </c>
      <c r="T48">
        <v>2</v>
      </c>
      <c r="U48">
        <v>50</v>
      </c>
      <c r="V48">
        <v>24</v>
      </c>
      <c r="W48">
        <v>0.38</v>
      </c>
      <c r="X48">
        <v>0.147707939147949</v>
      </c>
      <c r="Y48" s="3">
        <f>(N48-'[1]MM-napoli5'!S48)/'[1]MM-napoli5'!S48</f>
        <v>-1.2584629620291411E-6</v>
      </c>
    </row>
    <row r="49" spans="1:25" x14ac:dyDescent="0.2">
      <c r="A49" t="s">
        <v>120</v>
      </c>
      <c r="B49">
        <v>50</v>
      </c>
      <c r="C49">
        <v>50</v>
      </c>
      <c r="D49">
        <v>100</v>
      </c>
      <c r="E49">
        <v>30</v>
      </c>
      <c r="F49">
        <v>3</v>
      </c>
      <c r="G49">
        <v>50</v>
      </c>
      <c r="H49">
        <v>69</v>
      </c>
      <c r="I49">
        <v>120</v>
      </c>
      <c r="J49">
        <v>189</v>
      </c>
      <c r="K49">
        <v>103</v>
      </c>
      <c r="L49">
        <v>105000</v>
      </c>
      <c r="M49">
        <v>2250000</v>
      </c>
      <c r="N49">
        <v>51.655480989081703</v>
      </c>
      <c r="O49">
        <v>0</v>
      </c>
      <c r="P49">
        <v>51.655480989081703</v>
      </c>
      <c r="Q49">
        <v>1050000</v>
      </c>
      <c r="R49">
        <v>100000</v>
      </c>
      <c r="S49">
        <v>7</v>
      </c>
      <c r="T49">
        <v>2</v>
      </c>
      <c r="U49">
        <v>50</v>
      </c>
      <c r="V49">
        <v>28</v>
      </c>
      <c r="W49">
        <v>0.36</v>
      </c>
      <c r="X49">
        <v>0.266209125518798</v>
      </c>
      <c r="Y49" s="3">
        <f>(N49-'[1]MM-napoli5'!S49)/'[1]MM-napoli5'!S49</f>
        <v>0</v>
      </c>
    </row>
    <row r="50" spans="1:25" x14ac:dyDescent="0.2">
      <c r="A50" t="s">
        <v>121</v>
      </c>
      <c r="B50">
        <v>50</v>
      </c>
      <c r="C50">
        <v>50</v>
      </c>
      <c r="D50">
        <v>100</v>
      </c>
      <c r="E50">
        <v>30</v>
      </c>
      <c r="F50">
        <v>3</v>
      </c>
      <c r="G50">
        <v>50</v>
      </c>
      <c r="H50">
        <v>80</v>
      </c>
      <c r="I50">
        <v>120</v>
      </c>
      <c r="J50">
        <v>200</v>
      </c>
      <c r="K50">
        <v>95</v>
      </c>
      <c r="L50">
        <v>105000</v>
      </c>
      <c r="M50">
        <v>2250000</v>
      </c>
      <c r="N50">
        <v>49.375762887242999</v>
      </c>
      <c r="O50">
        <v>0</v>
      </c>
      <c r="P50">
        <v>49.375762887242999</v>
      </c>
      <c r="Q50">
        <v>1650000</v>
      </c>
      <c r="R50">
        <v>100000</v>
      </c>
      <c r="S50">
        <v>11</v>
      </c>
      <c r="T50">
        <v>2</v>
      </c>
      <c r="U50">
        <v>50</v>
      </c>
      <c r="V50">
        <v>21</v>
      </c>
      <c r="W50">
        <v>0.38</v>
      </c>
      <c r="X50">
        <v>0.12687611579895</v>
      </c>
      <c r="Y50" s="3">
        <f>(N50-'[1]MM-napoli5'!S50)/'[1]MM-napoli5'!S50</f>
        <v>2.0146723248323805E-15</v>
      </c>
    </row>
    <row r="51" spans="1:25" x14ac:dyDescent="0.2">
      <c r="A51" t="s">
        <v>122</v>
      </c>
      <c r="B51">
        <v>50</v>
      </c>
      <c r="C51">
        <v>50</v>
      </c>
      <c r="D51">
        <v>100</v>
      </c>
      <c r="E51">
        <v>30</v>
      </c>
      <c r="F51">
        <v>3</v>
      </c>
      <c r="G51">
        <v>50</v>
      </c>
      <c r="H51">
        <v>72</v>
      </c>
      <c r="I51">
        <v>120</v>
      </c>
      <c r="J51">
        <v>192</v>
      </c>
      <c r="K51">
        <v>95</v>
      </c>
      <c r="L51">
        <v>105000</v>
      </c>
      <c r="M51">
        <v>2250000</v>
      </c>
      <c r="N51">
        <v>49.670916540677503</v>
      </c>
      <c r="O51">
        <v>0</v>
      </c>
      <c r="P51">
        <v>49.670916540677503</v>
      </c>
      <c r="Q51">
        <v>1650000</v>
      </c>
      <c r="R51">
        <v>100000</v>
      </c>
      <c r="S51">
        <v>11</v>
      </c>
      <c r="T51">
        <v>2</v>
      </c>
      <c r="U51">
        <v>50</v>
      </c>
      <c r="V51">
        <v>20</v>
      </c>
      <c r="W51">
        <v>0.38</v>
      </c>
      <c r="X51">
        <v>0.10423994064331001</v>
      </c>
      <c r="Y51" s="3">
        <f>(N51-'[1]MM-napoli5'!S51)/'[1]MM-napoli5'!S51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563D-91EA-6941-AE4C-B26953F50FF9}">
  <dimension ref="A1:Y51"/>
  <sheetViews>
    <sheetView topLeftCell="E1" workbookViewId="0">
      <selection activeCell="Y3" sqref="Y3"/>
    </sheetView>
  </sheetViews>
  <sheetFormatPr baseColWidth="10" defaultRowHeight="16" x14ac:dyDescent="0.2"/>
  <sheetData>
    <row r="1" spans="1:2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173</v>
      </c>
    </row>
    <row r="2" spans="1:25" x14ac:dyDescent="0.2">
      <c r="A2" t="s">
        <v>123</v>
      </c>
      <c r="B2">
        <v>10</v>
      </c>
      <c r="C2">
        <v>10</v>
      </c>
      <c r="D2">
        <v>20</v>
      </c>
      <c r="E2">
        <v>36</v>
      </c>
      <c r="F2">
        <v>3</v>
      </c>
      <c r="G2">
        <v>10</v>
      </c>
      <c r="H2">
        <v>14</v>
      </c>
      <c r="I2">
        <v>120</v>
      </c>
      <c r="J2">
        <v>134</v>
      </c>
      <c r="K2">
        <v>19</v>
      </c>
      <c r="L2">
        <v>105000</v>
      </c>
      <c r="M2">
        <v>2700000</v>
      </c>
      <c r="N2">
        <v>12.083785621642599</v>
      </c>
      <c r="O2">
        <v>0</v>
      </c>
      <c r="P2">
        <v>12.083785621642599</v>
      </c>
      <c r="Q2">
        <v>1050000</v>
      </c>
      <c r="R2">
        <v>100000</v>
      </c>
      <c r="S2">
        <v>7</v>
      </c>
      <c r="T2">
        <v>2</v>
      </c>
      <c r="U2">
        <v>10</v>
      </c>
      <c r="V2">
        <v>6</v>
      </c>
      <c r="W2">
        <v>0.7</v>
      </c>
      <c r="X2">
        <v>2.1567821502685498E-2</v>
      </c>
      <c r="Y2" s="3">
        <f>(N2-'[1]MM-milano5'!S2)/'[1]MM-milano5'!U2</f>
        <v>0</v>
      </c>
    </row>
    <row r="3" spans="1:25" x14ac:dyDescent="0.2">
      <c r="A3" t="s">
        <v>124</v>
      </c>
      <c r="B3">
        <v>10</v>
      </c>
      <c r="C3">
        <v>10</v>
      </c>
      <c r="D3">
        <v>20</v>
      </c>
      <c r="E3">
        <v>36</v>
      </c>
      <c r="F3">
        <v>3</v>
      </c>
      <c r="G3">
        <v>10</v>
      </c>
      <c r="H3">
        <v>14</v>
      </c>
      <c r="I3">
        <v>120</v>
      </c>
      <c r="J3">
        <v>134</v>
      </c>
      <c r="K3">
        <v>24</v>
      </c>
      <c r="L3">
        <v>105000</v>
      </c>
      <c r="M3">
        <v>2700000</v>
      </c>
      <c r="N3">
        <v>17.143629251806601</v>
      </c>
      <c r="O3" s="1">
        <v>1.6548229186416899E-5</v>
      </c>
      <c r="P3">
        <v>17.143345555100598</v>
      </c>
      <c r="Q3">
        <v>600000</v>
      </c>
      <c r="R3">
        <v>100000</v>
      </c>
      <c r="S3">
        <v>4</v>
      </c>
      <c r="T3">
        <v>2</v>
      </c>
      <c r="U3">
        <v>10</v>
      </c>
      <c r="V3">
        <v>7</v>
      </c>
      <c r="W3">
        <v>0.5</v>
      </c>
      <c r="X3">
        <v>2.5844097137451099E-2</v>
      </c>
      <c r="Y3" s="3">
        <f>(N3-'[1]MM-milano5'!S3)/'[1]MM-milano5'!U3</f>
        <v>1.6548503038153682E-5</v>
      </c>
    </row>
    <row r="4" spans="1:25" x14ac:dyDescent="0.2">
      <c r="A4" t="s">
        <v>125</v>
      </c>
      <c r="B4">
        <v>10</v>
      </c>
      <c r="C4">
        <v>10</v>
      </c>
      <c r="D4">
        <v>20</v>
      </c>
      <c r="E4">
        <v>36</v>
      </c>
      <c r="F4">
        <v>3</v>
      </c>
      <c r="G4">
        <v>10</v>
      </c>
      <c r="H4">
        <v>16</v>
      </c>
      <c r="I4">
        <v>120</v>
      </c>
      <c r="J4">
        <v>136</v>
      </c>
      <c r="K4">
        <v>16</v>
      </c>
      <c r="L4">
        <v>105000</v>
      </c>
      <c r="M4">
        <v>2700000</v>
      </c>
      <c r="N4">
        <v>9.6810900661572106</v>
      </c>
      <c r="O4">
        <v>0</v>
      </c>
      <c r="P4">
        <v>9.6810900661572106</v>
      </c>
      <c r="Q4">
        <v>450000</v>
      </c>
      <c r="R4">
        <v>50000</v>
      </c>
      <c r="S4">
        <v>3</v>
      </c>
      <c r="T4">
        <v>1</v>
      </c>
      <c r="U4">
        <v>10</v>
      </c>
      <c r="V4">
        <v>3</v>
      </c>
      <c r="W4">
        <v>0.5</v>
      </c>
      <c r="X4">
        <v>1.4283895492553701E-2</v>
      </c>
      <c r="Y4" s="3">
        <f>(N4-'[1]MM-milano5'!S4)/'[1]MM-milano5'!U4</f>
        <v>0</v>
      </c>
    </row>
    <row r="5" spans="1:25" x14ac:dyDescent="0.2">
      <c r="A5" t="s">
        <v>126</v>
      </c>
      <c r="B5">
        <v>10</v>
      </c>
      <c r="C5">
        <v>10</v>
      </c>
      <c r="D5">
        <v>20</v>
      </c>
      <c r="E5">
        <v>36</v>
      </c>
      <c r="F5">
        <v>3</v>
      </c>
      <c r="G5">
        <v>10</v>
      </c>
      <c r="H5">
        <v>12</v>
      </c>
      <c r="I5">
        <v>120</v>
      </c>
      <c r="J5">
        <v>132</v>
      </c>
      <c r="K5">
        <v>22</v>
      </c>
      <c r="L5">
        <v>105000</v>
      </c>
      <c r="M5">
        <v>2700000</v>
      </c>
      <c r="N5">
        <v>12.4094630110907</v>
      </c>
      <c r="O5">
        <v>0</v>
      </c>
      <c r="P5">
        <v>12.4094630110907</v>
      </c>
      <c r="Q5">
        <v>300000</v>
      </c>
      <c r="R5">
        <v>100000</v>
      </c>
      <c r="S5">
        <v>2</v>
      </c>
      <c r="T5">
        <v>2</v>
      </c>
      <c r="U5">
        <v>10</v>
      </c>
      <c r="V5">
        <v>7</v>
      </c>
      <c r="W5">
        <v>0.6</v>
      </c>
      <c r="X5">
        <v>2.6597023010253899E-2</v>
      </c>
      <c r="Y5" s="3">
        <f>(N5-'[1]MM-milano5'!S5)/'[1]MM-milano5'!U5</f>
        <v>0</v>
      </c>
    </row>
    <row r="6" spans="1:25" x14ac:dyDescent="0.2">
      <c r="A6" t="s">
        <v>127</v>
      </c>
      <c r="B6">
        <v>10</v>
      </c>
      <c r="C6">
        <v>10</v>
      </c>
      <c r="D6">
        <v>20</v>
      </c>
      <c r="E6">
        <v>36</v>
      </c>
      <c r="F6">
        <v>3</v>
      </c>
      <c r="G6">
        <v>10</v>
      </c>
      <c r="H6">
        <v>17</v>
      </c>
      <c r="I6">
        <v>120</v>
      </c>
      <c r="J6">
        <v>137</v>
      </c>
      <c r="K6">
        <v>19</v>
      </c>
      <c r="L6">
        <v>105000</v>
      </c>
      <c r="M6">
        <v>2700000</v>
      </c>
      <c r="N6">
        <v>12.047781394951199</v>
      </c>
      <c r="O6">
        <v>0</v>
      </c>
      <c r="P6">
        <v>12.047781394951199</v>
      </c>
      <c r="Q6">
        <v>900000</v>
      </c>
      <c r="R6">
        <v>50000</v>
      </c>
      <c r="S6">
        <v>6</v>
      </c>
      <c r="T6">
        <v>1</v>
      </c>
      <c r="U6">
        <v>10</v>
      </c>
      <c r="V6">
        <v>3</v>
      </c>
      <c r="W6">
        <v>0.7</v>
      </c>
      <c r="X6">
        <v>1.05359554290771E-2</v>
      </c>
      <c r="Y6" s="3">
        <f>(N6-'[1]MM-milano5'!S6)/'[1]MM-milano5'!U6</f>
        <v>0</v>
      </c>
    </row>
    <row r="7" spans="1:25" x14ac:dyDescent="0.2">
      <c r="A7" t="s">
        <v>128</v>
      </c>
      <c r="B7">
        <v>10</v>
      </c>
      <c r="C7">
        <v>10</v>
      </c>
      <c r="D7">
        <v>20</v>
      </c>
      <c r="E7">
        <v>36</v>
      </c>
      <c r="F7">
        <v>3</v>
      </c>
      <c r="G7">
        <v>10</v>
      </c>
      <c r="H7">
        <v>14</v>
      </c>
      <c r="I7">
        <v>120</v>
      </c>
      <c r="J7">
        <v>134</v>
      </c>
      <c r="K7">
        <v>19</v>
      </c>
      <c r="L7">
        <v>105000</v>
      </c>
      <c r="M7">
        <v>2700000</v>
      </c>
      <c r="N7">
        <v>9.3230113493137292</v>
      </c>
      <c r="O7">
        <v>0</v>
      </c>
      <c r="P7">
        <v>9.3230113493137292</v>
      </c>
      <c r="Q7">
        <v>450000</v>
      </c>
      <c r="R7">
        <v>100000</v>
      </c>
      <c r="S7">
        <v>3</v>
      </c>
      <c r="T7">
        <v>2</v>
      </c>
      <c r="U7">
        <v>10</v>
      </c>
      <c r="V7">
        <v>5</v>
      </c>
      <c r="W7">
        <v>0.3</v>
      </c>
      <c r="X7">
        <v>1.51238441467285E-2</v>
      </c>
      <c r="Y7" s="3">
        <f>(N7-'[1]MM-milano5'!S7)/'[1]MM-milano5'!U7</f>
        <v>-1.1432079868899915E-15</v>
      </c>
    </row>
    <row r="8" spans="1:25" x14ac:dyDescent="0.2">
      <c r="A8" t="s">
        <v>129</v>
      </c>
      <c r="B8">
        <v>10</v>
      </c>
      <c r="C8">
        <v>10</v>
      </c>
      <c r="D8">
        <v>20</v>
      </c>
      <c r="E8">
        <v>36</v>
      </c>
      <c r="F8">
        <v>3</v>
      </c>
      <c r="G8">
        <v>10</v>
      </c>
      <c r="H8">
        <v>18</v>
      </c>
      <c r="I8">
        <v>120</v>
      </c>
      <c r="J8">
        <v>138</v>
      </c>
      <c r="K8">
        <v>16</v>
      </c>
      <c r="L8">
        <v>105000</v>
      </c>
      <c r="M8">
        <v>2700000</v>
      </c>
      <c r="N8">
        <v>7.5010861563244404</v>
      </c>
      <c r="O8">
        <v>0</v>
      </c>
      <c r="P8">
        <v>7.5010861563244404</v>
      </c>
      <c r="Q8">
        <v>450000</v>
      </c>
      <c r="R8">
        <v>100000</v>
      </c>
      <c r="S8">
        <v>3</v>
      </c>
      <c r="T8">
        <v>2</v>
      </c>
      <c r="U8">
        <v>10</v>
      </c>
      <c r="V8">
        <v>3</v>
      </c>
      <c r="W8">
        <v>0.5</v>
      </c>
      <c r="X8">
        <v>1.24719142913818E-2</v>
      </c>
      <c r="Y8" s="3">
        <f>(N8-'[1]MM-milano5'!S8)/'[1]MM-milano5'!U8</f>
        <v>0</v>
      </c>
    </row>
    <row r="9" spans="1:25" x14ac:dyDescent="0.2">
      <c r="A9" t="s">
        <v>130</v>
      </c>
      <c r="B9">
        <v>10</v>
      </c>
      <c r="C9">
        <v>10</v>
      </c>
      <c r="D9">
        <v>20</v>
      </c>
      <c r="E9">
        <v>36</v>
      </c>
      <c r="F9">
        <v>3</v>
      </c>
      <c r="G9">
        <v>10</v>
      </c>
      <c r="H9">
        <v>14</v>
      </c>
      <c r="I9">
        <v>120</v>
      </c>
      <c r="J9">
        <v>134</v>
      </c>
      <c r="K9">
        <v>19</v>
      </c>
      <c r="L9">
        <v>105000</v>
      </c>
      <c r="M9">
        <v>2700000</v>
      </c>
      <c r="N9">
        <v>10.5604950347146</v>
      </c>
      <c r="O9">
        <v>0</v>
      </c>
      <c r="P9">
        <v>10.5604950347146</v>
      </c>
      <c r="Q9">
        <v>750000</v>
      </c>
      <c r="R9">
        <v>100000</v>
      </c>
      <c r="S9">
        <v>5</v>
      </c>
      <c r="T9">
        <v>2</v>
      </c>
      <c r="U9">
        <v>10</v>
      </c>
      <c r="V9">
        <v>6</v>
      </c>
      <c r="W9">
        <v>0.6</v>
      </c>
      <c r="X9">
        <v>1.8160820007324201E-2</v>
      </c>
      <c r="Y9" s="3">
        <f>(N9-'[1]MM-milano5'!S9)/'[1]MM-milano5'!U9</f>
        <v>0</v>
      </c>
    </row>
    <row r="10" spans="1:25" x14ac:dyDescent="0.2">
      <c r="A10" t="s">
        <v>131</v>
      </c>
      <c r="B10">
        <v>10</v>
      </c>
      <c r="C10">
        <v>10</v>
      </c>
      <c r="D10">
        <v>20</v>
      </c>
      <c r="E10">
        <v>36</v>
      </c>
      <c r="F10">
        <v>3</v>
      </c>
      <c r="G10">
        <v>10</v>
      </c>
      <c r="H10">
        <v>14</v>
      </c>
      <c r="I10">
        <v>120</v>
      </c>
      <c r="J10">
        <v>134</v>
      </c>
      <c r="K10">
        <v>20</v>
      </c>
      <c r="L10">
        <v>105000</v>
      </c>
      <c r="M10">
        <v>2700000</v>
      </c>
      <c r="N10">
        <v>17.3824601151248</v>
      </c>
      <c r="O10">
        <v>0</v>
      </c>
      <c r="P10">
        <v>17.3824601151248</v>
      </c>
      <c r="Q10">
        <v>900000</v>
      </c>
      <c r="R10">
        <v>100000</v>
      </c>
      <c r="S10">
        <v>6</v>
      </c>
      <c r="T10">
        <v>2</v>
      </c>
      <c r="U10">
        <v>10</v>
      </c>
      <c r="V10">
        <v>5</v>
      </c>
      <c r="W10">
        <v>0.8</v>
      </c>
      <c r="X10">
        <v>3.5557985305786098E-2</v>
      </c>
      <c r="Y10" s="3">
        <f>(N10-'[1]MM-milano5'!S10)/'[1]MM-milano5'!U10</f>
        <v>0</v>
      </c>
    </row>
    <row r="11" spans="1:25" x14ac:dyDescent="0.2">
      <c r="A11" t="s">
        <v>132</v>
      </c>
      <c r="B11">
        <v>10</v>
      </c>
      <c r="C11">
        <v>10</v>
      </c>
      <c r="D11">
        <v>20</v>
      </c>
      <c r="E11">
        <v>36</v>
      </c>
      <c r="F11">
        <v>3</v>
      </c>
      <c r="G11">
        <v>10</v>
      </c>
      <c r="H11">
        <v>11</v>
      </c>
      <c r="I11">
        <v>120</v>
      </c>
      <c r="J11">
        <v>131</v>
      </c>
      <c r="K11">
        <v>22</v>
      </c>
      <c r="L11">
        <v>105000</v>
      </c>
      <c r="M11">
        <v>2700000</v>
      </c>
      <c r="N11">
        <v>15.0876473125918</v>
      </c>
      <c r="O11">
        <v>0</v>
      </c>
      <c r="P11">
        <v>15.0876473125918</v>
      </c>
      <c r="Q11">
        <v>600000</v>
      </c>
      <c r="R11">
        <v>100000</v>
      </c>
      <c r="S11">
        <v>4</v>
      </c>
      <c r="T11">
        <v>2</v>
      </c>
      <c r="U11">
        <v>10</v>
      </c>
      <c r="V11">
        <v>8</v>
      </c>
      <c r="W11">
        <v>0.6</v>
      </c>
      <c r="X11">
        <v>2.4886846542358398E-2</v>
      </c>
      <c r="Y11" s="3">
        <f>(N11-'[1]MM-milano5'!S11)/'[1]MM-milano5'!U11</f>
        <v>0</v>
      </c>
    </row>
    <row r="12" spans="1:25" x14ac:dyDescent="0.2">
      <c r="A12" t="s">
        <v>133</v>
      </c>
      <c r="B12">
        <v>20</v>
      </c>
      <c r="C12">
        <v>20</v>
      </c>
      <c r="D12">
        <v>40</v>
      </c>
      <c r="E12">
        <v>36</v>
      </c>
      <c r="F12">
        <v>3</v>
      </c>
      <c r="G12">
        <v>20</v>
      </c>
      <c r="H12">
        <v>32</v>
      </c>
      <c r="I12">
        <v>120</v>
      </c>
      <c r="J12">
        <v>152</v>
      </c>
      <c r="K12">
        <v>33</v>
      </c>
      <c r="L12">
        <v>105000</v>
      </c>
      <c r="M12">
        <v>2700000</v>
      </c>
      <c r="N12">
        <v>18.4355457317779</v>
      </c>
      <c r="O12">
        <v>0</v>
      </c>
      <c r="P12">
        <v>18.4355457317779</v>
      </c>
      <c r="Q12">
        <v>750000</v>
      </c>
      <c r="R12">
        <v>100000</v>
      </c>
      <c r="S12">
        <v>5</v>
      </c>
      <c r="T12">
        <v>2</v>
      </c>
      <c r="U12">
        <v>20</v>
      </c>
      <c r="V12">
        <v>5</v>
      </c>
      <c r="W12">
        <v>0.45</v>
      </c>
      <c r="X12">
        <v>2.1022081375122001E-2</v>
      </c>
      <c r="Y12" s="3">
        <f>(N12-'[1]MM-milano5'!S12)/'[1]MM-milano5'!U12</f>
        <v>0</v>
      </c>
    </row>
    <row r="13" spans="1:25" x14ac:dyDescent="0.2">
      <c r="A13" t="s">
        <v>134</v>
      </c>
      <c r="B13">
        <v>20</v>
      </c>
      <c r="C13">
        <v>20</v>
      </c>
      <c r="D13">
        <v>40</v>
      </c>
      <c r="E13">
        <v>36</v>
      </c>
      <c r="F13">
        <v>3</v>
      </c>
      <c r="G13">
        <v>20</v>
      </c>
      <c r="H13">
        <v>29</v>
      </c>
      <c r="I13">
        <v>120</v>
      </c>
      <c r="J13">
        <v>149</v>
      </c>
      <c r="K13">
        <v>41</v>
      </c>
      <c r="L13">
        <v>105000</v>
      </c>
      <c r="M13">
        <v>2700000</v>
      </c>
      <c r="N13">
        <v>23.6632212970819</v>
      </c>
      <c r="O13">
        <v>0</v>
      </c>
      <c r="P13">
        <v>23.6632212970819</v>
      </c>
      <c r="Q13">
        <v>900000</v>
      </c>
      <c r="R13">
        <v>100000</v>
      </c>
      <c r="S13">
        <v>6</v>
      </c>
      <c r="T13">
        <v>2</v>
      </c>
      <c r="U13">
        <v>20</v>
      </c>
      <c r="V13">
        <v>12</v>
      </c>
      <c r="W13">
        <v>0.45</v>
      </c>
      <c r="X13">
        <v>5.41739463806152E-2</v>
      </c>
      <c r="Y13" s="3">
        <f>(N13-'[1]MM-milano5'!S13)/'[1]MM-milano5'!U13</f>
        <v>0</v>
      </c>
    </row>
    <row r="14" spans="1:25" x14ac:dyDescent="0.2">
      <c r="A14" t="s">
        <v>135</v>
      </c>
      <c r="B14">
        <v>20</v>
      </c>
      <c r="C14">
        <v>20</v>
      </c>
      <c r="D14">
        <v>40</v>
      </c>
      <c r="E14">
        <v>36</v>
      </c>
      <c r="F14">
        <v>3</v>
      </c>
      <c r="G14">
        <v>20</v>
      </c>
      <c r="H14">
        <v>28</v>
      </c>
      <c r="I14">
        <v>120</v>
      </c>
      <c r="J14">
        <v>148</v>
      </c>
      <c r="K14">
        <v>43</v>
      </c>
      <c r="L14">
        <v>105000</v>
      </c>
      <c r="M14">
        <v>2700000</v>
      </c>
      <c r="N14">
        <v>32.943420041709302</v>
      </c>
      <c r="O14">
        <v>0</v>
      </c>
      <c r="P14">
        <v>32.943420041709302</v>
      </c>
      <c r="Q14">
        <v>1200000</v>
      </c>
      <c r="R14">
        <v>100000</v>
      </c>
      <c r="S14">
        <v>8</v>
      </c>
      <c r="T14">
        <v>2</v>
      </c>
      <c r="U14">
        <v>20</v>
      </c>
      <c r="V14">
        <v>13</v>
      </c>
      <c r="W14">
        <v>0.75</v>
      </c>
      <c r="X14">
        <v>4.18338775634765E-2</v>
      </c>
      <c r="Y14" s="3">
        <f>(N14-'[1]MM-milano5'!S14)/'[1]MM-milano5'!U14</f>
        <v>3.019600966762676E-15</v>
      </c>
    </row>
    <row r="15" spans="1:25" x14ac:dyDescent="0.2">
      <c r="A15" t="s">
        <v>136</v>
      </c>
      <c r="B15">
        <v>20</v>
      </c>
      <c r="C15">
        <v>20</v>
      </c>
      <c r="D15">
        <v>40</v>
      </c>
      <c r="E15">
        <v>36</v>
      </c>
      <c r="F15">
        <v>3</v>
      </c>
      <c r="G15">
        <v>20</v>
      </c>
      <c r="H15">
        <v>30</v>
      </c>
      <c r="I15">
        <v>120</v>
      </c>
      <c r="J15">
        <v>150</v>
      </c>
      <c r="K15">
        <v>40</v>
      </c>
      <c r="L15">
        <v>105000</v>
      </c>
      <c r="M15">
        <v>2700000</v>
      </c>
      <c r="N15">
        <v>22.794639633259902</v>
      </c>
      <c r="O15">
        <v>0</v>
      </c>
      <c r="P15">
        <v>22.794639633259902</v>
      </c>
      <c r="Q15">
        <v>900000</v>
      </c>
      <c r="R15">
        <v>100000</v>
      </c>
      <c r="S15">
        <v>6</v>
      </c>
      <c r="T15">
        <v>2</v>
      </c>
      <c r="U15">
        <v>20</v>
      </c>
      <c r="V15">
        <v>9</v>
      </c>
      <c r="W15">
        <v>0.35</v>
      </c>
      <c r="X15">
        <v>4.8834800720214802E-2</v>
      </c>
      <c r="Y15" s="3">
        <f>(N15-'[1]MM-milano5'!S15)/'[1]MM-milano5'!U15</f>
        <v>0</v>
      </c>
    </row>
    <row r="16" spans="1:25" x14ac:dyDescent="0.2">
      <c r="A16" t="s">
        <v>137</v>
      </c>
      <c r="B16">
        <v>20</v>
      </c>
      <c r="C16">
        <v>20</v>
      </c>
      <c r="D16">
        <v>40</v>
      </c>
      <c r="E16">
        <v>36</v>
      </c>
      <c r="F16">
        <v>3</v>
      </c>
      <c r="G16">
        <v>20</v>
      </c>
      <c r="H16">
        <v>30</v>
      </c>
      <c r="I16">
        <v>120</v>
      </c>
      <c r="J16">
        <v>150</v>
      </c>
      <c r="K16">
        <v>33</v>
      </c>
      <c r="L16">
        <v>105000</v>
      </c>
      <c r="M16">
        <v>2700000</v>
      </c>
      <c r="N16">
        <v>18.196679699128801</v>
      </c>
      <c r="O16">
        <v>0</v>
      </c>
      <c r="P16">
        <v>18.196679699128801</v>
      </c>
      <c r="Q16">
        <v>900000</v>
      </c>
      <c r="R16">
        <v>100000</v>
      </c>
      <c r="S16">
        <v>6</v>
      </c>
      <c r="T16">
        <v>2</v>
      </c>
      <c r="U16">
        <v>20</v>
      </c>
      <c r="V16">
        <v>7</v>
      </c>
      <c r="W16">
        <v>0.35</v>
      </c>
      <c r="X16">
        <v>2.7840852737426699E-2</v>
      </c>
      <c r="Y16" s="3">
        <f>(N16-'[1]MM-milano5'!S16)/'[1]MM-milano5'!U16</f>
        <v>0</v>
      </c>
    </row>
    <row r="17" spans="1:25" x14ac:dyDescent="0.2">
      <c r="A17" t="s">
        <v>138</v>
      </c>
      <c r="B17">
        <v>20</v>
      </c>
      <c r="C17">
        <v>20</v>
      </c>
      <c r="D17">
        <v>40</v>
      </c>
      <c r="E17">
        <v>36</v>
      </c>
      <c r="F17">
        <v>3</v>
      </c>
      <c r="G17">
        <v>20</v>
      </c>
      <c r="H17">
        <v>31</v>
      </c>
      <c r="I17">
        <v>120</v>
      </c>
      <c r="J17">
        <v>151</v>
      </c>
      <c r="K17">
        <v>34</v>
      </c>
      <c r="L17">
        <v>105000</v>
      </c>
      <c r="M17">
        <v>2700000</v>
      </c>
      <c r="N17">
        <v>18.1464971044898</v>
      </c>
      <c r="O17">
        <v>0</v>
      </c>
      <c r="P17">
        <v>18.1464971044898</v>
      </c>
      <c r="Q17">
        <v>1050000</v>
      </c>
      <c r="R17">
        <v>100000</v>
      </c>
      <c r="S17">
        <v>7</v>
      </c>
      <c r="T17">
        <v>2</v>
      </c>
      <c r="U17">
        <v>20</v>
      </c>
      <c r="V17">
        <v>5</v>
      </c>
      <c r="W17">
        <v>0.4</v>
      </c>
      <c r="X17">
        <v>2.9906034469604399E-2</v>
      </c>
      <c r="Y17" s="3">
        <f>(N17-'[1]MM-milano5'!S17)/'[1]MM-milano5'!U17</f>
        <v>0</v>
      </c>
    </row>
    <row r="18" spans="1:25" x14ac:dyDescent="0.2">
      <c r="A18" t="s">
        <v>139</v>
      </c>
      <c r="B18">
        <v>20</v>
      </c>
      <c r="C18">
        <v>20</v>
      </c>
      <c r="D18">
        <v>40</v>
      </c>
      <c r="E18">
        <v>36</v>
      </c>
      <c r="F18">
        <v>3</v>
      </c>
      <c r="G18">
        <v>20</v>
      </c>
      <c r="H18">
        <v>31</v>
      </c>
      <c r="I18">
        <v>120</v>
      </c>
      <c r="J18">
        <v>151</v>
      </c>
      <c r="K18">
        <v>37</v>
      </c>
      <c r="L18">
        <v>105000</v>
      </c>
      <c r="M18">
        <v>2700000</v>
      </c>
      <c r="N18">
        <v>19.760804665560901</v>
      </c>
      <c r="O18">
        <v>0</v>
      </c>
      <c r="P18">
        <v>19.760804665560901</v>
      </c>
      <c r="Q18">
        <v>1050000</v>
      </c>
      <c r="R18">
        <v>100000</v>
      </c>
      <c r="S18">
        <v>7</v>
      </c>
      <c r="T18">
        <v>2</v>
      </c>
      <c r="U18">
        <v>20</v>
      </c>
      <c r="V18">
        <v>9</v>
      </c>
      <c r="W18">
        <v>0.4</v>
      </c>
      <c r="X18">
        <v>3.6154031753539997E-2</v>
      </c>
      <c r="Y18" s="3">
        <f>(N18-'[1]MM-milano5'!S18)/'[1]MM-milano5'!U18</f>
        <v>0</v>
      </c>
    </row>
    <row r="19" spans="1:25" x14ac:dyDescent="0.2">
      <c r="A19" t="s">
        <v>140</v>
      </c>
      <c r="B19">
        <v>20</v>
      </c>
      <c r="C19">
        <v>20</v>
      </c>
      <c r="D19">
        <v>40</v>
      </c>
      <c r="E19">
        <v>36</v>
      </c>
      <c r="F19">
        <v>3</v>
      </c>
      <c r="G19">
        <v>20</v>
      </c>
      <c r="H19">
        <v>27</v>
      </c>
      <c r="I19">
        <v>120</v>
      </c>
      <c r="J19">
        <v>147</v>
      </c>
      <c r="K19">
        <v>38</v>
      </c>
      <c r="L19">
        <v>105000</v>
      </c>
      <c r="M19">
        <v>2700000</v>
      </c>
      <c r="N19">
        <v>23.6038108825623</v>
      </c>
      <c r="O19">
        <v>0</v>
      </c>
      <c r="P19">
        <v>23.6038108825623</v>
      </c>
      <c r="Q19">
        <v>600000</v>
      </c>
      <c r="R19">
        <v>100000</v>
      </c>
      <c r="S19">
        <v>4</v>
      </c>
      <c r="T19">
        <v>2</v>
      </c>
      <c r="U19">
        <v>20</v>
      </c>
      <c r="V19">
        <v>11</v>
      </c>
      <c r="W19">
        <v>0.45</v>
      </c>
      <c r="X19">
        <v>5.6308031082153299E-2</v>
      </c>
      <c r="Y19" s="3">
        <f>(N19-'[1]MM-milano5'!S19)/'[1]MM-milano5'!U19</f>
        <v>0</v>
      </c>
    </row>
    <row r="20" spans="1:25" x14ac:dyDescent="0.2">
      <c r="A20" t="s">
        <v>141</v>
      </c>
      <c r="B20">
        <v>20</v>
      </c>
      <c r="C20">
        <v>20</v>
      </c>
      <c r="D20">
        <v>40</v>
      </c>
      <c r="E20">
        <v>36</v>
      </c>
      <c r="F20">
        <v>3</v>
      </c>
      <c r="G20">
        <v>20</v>
      </c>
      <c r="H20">
        <v>37</v>
      </c>
      <c r="I20">
        <v>120</v>
      </c>
      <c r="J20">
        <v>157</v>
      </c>
      <c r="K20">
        <v>39</v>
      </c>
      <c r="L20">
        <v>105000</v>
      </c>
      <c r="M20">
        <v>2700000</v>
      </c>
      <c r="N20">
        <v>22.852053700559001</v>
      </c>
      <c r="O20">
        <v>0</v>
      </c>
      <c r="P20">
        <v>22.852053700559001</v>
      </c>
      <c r="Q20">
        <v>750000</v>
      </c>
      <c r="R20">
        <v>100000</v>
      </c>
      <c r="S20">
        <v>5</v>
      </c>
      <c r="T20">
        <v>2</v>
      </c>
      <c r="U20">
        <v>20</v>
      </c>
      <c r="V20">
        <v>4</v>
      </c>
      <c r="W20">
        <v>0.35</v>
      </c>
      <c r="X20">
        <v>1.7186880111694301E-2</v>
      </c>
      <c r="Y20" s="3">
        <f>(N20-'[1]MM-milano5'!S20)/'[1]MM-milano5'!U20</f>
        <v>0</v>
      </c>
    </row>
    <row r="21" spans="1:25" x14ac:dyDescent="0.2">
      <c r="A21" t="s">
        <v>142</v>
      </c>
      <c r="B21">
        <v>20</v>
      </c>
      <c r="C21">
        <v>20</v>
      </c>
      <c r="D21">
        <v>40</v>
      </c>
      <c r="E21">
        <v>36</v>
      </c>
      <c r="F21">
        <v>3</v>
      </c>
      <c r="G21">
        <v>20</v>
      </c>
      <c r="H21">
        <v>29</v>
      </c>
      <c r="I21">
        <v>120</v>
      </c>
      <c r="J21">
        <v>149</v>
      </c>
      <c r="K21">
        <v>41</v>
      </c>
      <c r="L21">
        <v>105000</v>
      </c>
      <c r="M21">
        <v>2700000</v>
      </c>
      <c r="N21">
        <v>27.5886923837914</v>
      </c>
      <c r="O21">
        <v>0</v>
      </c>
      <c r="P21">
        <v>27.5886923837914</v>
      </c>
      <c r="Q21">
        <v>900000</v>
      </c>
      <c r="R21">
        <v>100000</v>
      </c>
      <c r="S21">
        <v>6</v>
      </c>
      <c r="T21">
        <v>2</v>
      </c>
      <c r="U21">
        <v>20</v>
      </c>
      <c r="V21">
        <v>10</v>
      </c>
      <c r="W21">
        <v>0.5</v>
      </c>
      <c r="X21">
        <v>6.0053825378417899E-2</v>
      </c>
      <c r="Y21" s="3">
        <f>(N21-'[1]MM-milano5'!S21)/'[1]MM-milano5'!U21</f>
        <v>-3.6056795161795E-15</v>
      </c>
    </row>
    <row r="22" spans="1:25" x14ac:dyDescent="0.2">
      <c r="A22" t="s">
        <v>143</v>
      </c>
      <c r="B22">
        <v>30</v>
      </c>
      <c r="C22">
        <v>30</v>
      </c>
      <c r="D22">
        <v>60</v>
      </c>
      <c r="E22">
        <v>36</v>
      </c>
      <c r="F22">
        <v>3</v>
      </c>
      <c r="G22">
        <v>30</v>
      </c>
      <c r="H22">
        <v>45</v>
      </c>
      <c r="I22">
        <v>120</v>
      </c>
      <c r="J22">
        <v>165</v>
      </c>
      <c r="K22">
        <v>59</v>
      </c>
      <c r="L22">
        <v>105000</v>
      </c>
      <c r="M22">
        <v>2700000</v>
      </c>
      <c r="N22">
        <v>36.355978565502397</v>
      </c>
      <c r="O22">
        <v>0</v>
      </c>
      <c r="P22">
        <v>36.355978565502397</v>
      </c>
      <c r="Q22">
        <v>1500000</v>
      </c>
      <c r="R22">
        <v>100000</v>
      </c>
      <c r="S22">
        <v>10</v>
      </c>
      <c r="T22">
        <v>2</v>
      </c>
      <c r="U22">
        <v>30</v>
      </c>
      <c r="V22">
        <v>16</v>
      </c>
      <c r="W22">
        <v>0.43</v>
      </c>
      <c r="X22">
        <v>0.101805210113525</v>
      </c>
      <c r="Y22" s="3">
        <f>(N22-'[1]MM-milano5'!S22)/'[1]MM-milano5'!U22</f>
        <v>0</v>
      </c>
    </row>
    <row r="23" spans="1:25" x14ac:dyDescent="0.2">
      <c r="A23" t="s">
        <v>144</v>
      </c>
      <c r="B23">
        <v>30</v>
      </c>
      <c r="C23">
        <v>30</v>
      </c>
      <c r="D23">
        <v>60</v>
      </c>
      <c r="E23">
        <v>36</v>
      </c>
      <c r="F23">
        <v>3</v>
      </c>
      <c r="G23">
        <v>30</v>
      </c>
      <c r="H23">
        <v>50</v>
      </c>
      <c r="I23">
        <v>120</v>
      </c>
      <c r="J23">
        <v>170</v>
      </c>
      <c r="K23">
        <v>57</v>
      </c>
      <c r="L23">
        <v>105000</v>
      </c>
      <c r="M23">
        <v>2700000</v>
      </c>
      <c r="N23">
        <v>41.941696866512601</v>
      </c>
      <c r="O23">
        <v>0</v>
      </c>
      <c r="P23">
        <v>41.941696866512601</v>
      </c>
      <c r="Q23">
        <v>1800000</v>
      </c>
      <c r="R23">
        <v>100000</v>
      </c>
      <c r="S23">
        <v>12</v>
      </c>
      <c r="T23">
        <v>2</v>
      </c>
      <c r="U23">
        <v>30</v>
      </c>
      <c r="V23">
        <v>12</v>
      </c>
      <c r="W23">
        <v>0.73</v>
      </c>
      <c r="X23">
        <v>5.1162004470825098E-2</v>
      </c>
      <c r="Y23" s="3">
        <f>(N23-'[1]MM-milano5'!S23)/'[1]MM-milano5'!U23</f>
        <v>2.3717682029655461E-15</v>
      </c>
    </row>
    <row r="24" spans="1:25" x14ac:dyDescent="0.2">
      <c r="A24" t="s">
        <v>145</v>
      </c>
      <c r="B24">
        <v>30</v>
      </c>
      <c r="C24">
        <v>30</v>
      </c>
      <c r="D24">
        <v>60</v>
      </c>
      <c r="E24">
        <v>36</v>
      </c>
      <c r="F24">
        <v>3</v>
      </c>
      <c r="G24">
        <v>30</v>
      </c>
      <c r="H24">
        <v>56</v>
      </c>
      <c r="I24">
        <v>120</v>
      </c>
      <c r="J24">
        <v>176</v>
      </c>
      <c r="K24">
        <v>56</v>
      </c>
      <c r="L24">
        <v>105000</v>
      </c>
      <c r="M24">
        <v>2700000</v>
      </c>
      <c r="N24">
        <v>37.836353167124003</v>
      </c>
      <c r="O24">
        <v>0</v>
      </c>
      <c r="P24">
        <v>37.836353167124003</v>
      </c>
      <c r="Q24">
        <v>1950000</v>
      </c>
      <c r="R24">
        <v>100000</v>
      </c>
      <c r="S24">
        <v>13</v>
      </c>
      <c r="T24">
        <v>2</v>
      </c>
      <c r="U24">
        <v>30</v>
      </c>
      <c r="V24">
        <v>9</v>
      </c>
      <c r="W24">
        <v>0.63</v>
      </c>
      <c r="X24">
        <v>5.8845996856689398E-2</v>
      </c>
      <c r="Y24" s="3">
        <f>(N24-'[1]MM-milano5'!S24)/'[1]MM-milano5'!U24</f>
        <v>0</v>
      </c>
    </row>
    <row r="25" spans="1:25" x14ac:dyDescent="0.2">
      <c r="A25" t="s">
        <v>146</v>
      </c>
      <c r="B25">
        <v>30</v>
      </c>
      <c r="C25">
        <v>30</v>
      </c>
      <c r="D25">
        <v>60</v>
      </c>
      <c r="E25">
        <v>36</v>
      </c>
      <c r="F25">
        <v>3</v>
      </c>
      <c r="G25">
        <v>30</v>
      </c>
      <c r="H25">
        <v>41</v>
      </c>
      <c r="I25">
        <v>120</v>
      </c>
      <c r="J25">
        <v>161</v>
      </c>
      <c r="K25">
        <v>61</v>
      </c>
      <c r="L25">
        <v>105000</v>
      </c>
      <c r="M25">
        <v>2700000</v>
      </c>
      <c r="N25">
        <v>39.179539171813197</v>
      </c>
      <c r="O25">
        <v>0</v>
      </c>
      <c r="P25">
        <v>39.179539171813197</v>
      </c>
      <c r="Q25">
        <v>1350000</v>
      </c>
      <c r="R25">
        <v>100000</v>
      </c>
      <c r="S25">
        <v>9</v>
      </c>
      <c r="T25">
        <v>2</v>
      </c>
      <c r="U25">
        <v>30</v>
      </c>
      <c r="V25">
        <v>14</v>
      </c>
      <c r="W25">
        <v>0.47</v>
      </c>
      <c r="X25">
        <v>8.4918975830078097E-2</v>
      </c>
      <c r="Y25" s="3">
        <f>(N25-'[1]MM-milano5'!S25)/'[1]MM-milano5'!U25</f>
        <v>0</v>
      </c>
    </row>
    <row r="26" spans="1:25" x14ac:dyDescent="0.2">
      <c r="A26" t="s">
        <v>147</v>
      </c>
      <c r="B26">
        <v>30</v>
      </c>
      <c r="C26">
        <v>30</v>
      </c>
      <c r="D26">
        <v>60</v>
      </c>
      <c r="E26">
        <v>36</v>
      </c>
      <c r="F26">
        <v>3</v>
      </c>
      <c r="G26">
        <v>30</v>
      </c>
      <c r="H26">
        <v>45</v>
      </c>
      <c r="I26">
        <v>120</v>
      </c>
      <c r="J26">
        <v>165</v>
      </c>
      <c r="K26">
        <v>52</v>
      </c>
      <c r="L26">
        <v>105000</v>
      </c>
      <c r="M26">
        <v>2700000</v>
      </c>
      <c r="N26">
        <v>28.637649902619899</v>
      </c>
      <c r="O26">
        <v>0</v>
      </c>
      <c r="P26">
        <v>28.637649902619899</v>
      </c>
      <c r="Q26">
        <v>1200000</v>
      </c>
      <c r="R26">
        <v>100000</v>
      </c>
      <c r="S26">
        <v>8</v>
      </c>
      <c r="T26">
        <v>2</v>
      </c>
      <c r="U26">
        <v>30</v>
      </c>
      <c r="V26">
        <v>11</v>
      </c>
      <c r="W26">
        <v>0.43</v>
      </c>
      <c r="X26">
        <v>4.97488975524902E-2</v>
      </c>
      <c r="Y26" s="3">
        <f>(N26-'[1]MM-milano5'!S26)/'[1]MM-milano5'!U26</f>
        <v>0</v>
      </c>
    </row>
    <row r="27" spans="1:25" x14ac:dyDescent="0.2">
      <c r="A27" t="s">
        <v>148</v>
      </c>
      <c r="B27">
        <v>30</v>
      </c>
      <c r="C27">
        <v>30</v>
      </c>
      <c r="D27">
        <v>60</v>
      </c>
      <c r="E27">
        <v>36</v>
      </c>
      <c r="F27">
        <v>3</v>
      </c>
      <c r="G27">
        <v>30</v>
      </c>
      <c r="H27">
        <v>39</v>
      </c>
      <c r="I27">
        <v>120</v>
      </c>
      <c r="J27">
        <v>159</v>
      </c>
      <c r="K27">
        <v>60</v>
      </c>
      <c r="L27">
        <v>105000</v>
      </c>
      <c r="M27">
        <v>2700000</v>
      </c>
      <c r="N27">
        <v>31.187111837703998</v>
      </c>
      <c r="O27">
        <v>0</v>
      </c>
      <c r="P27">
        <v>31.187111837703998</v>
      </c>
      <c r="Q27">
        <v>900000</v>
      </c>
      <c r="R27">
        <v>100000</v>
      </c>
      <c r="S27">
        <v>6</v>
      </c>
      <c r="T27">
        <v>2</v>
      </c>
      <c r="U27">
        <v>30</v>
      </c>
      <c r="V27">
        <v>16</v>
      </c>
      <c r="W27">
        <v>0.37</v>
      </c>
      <c r="X27">
        <v>7.8638076782226493E-2</v>
      </c>
      <c r="Y27" s="3">
        <f>(N27-'[1]MM-milano5'!S27)/'[1]MM-milano5'!U27</f>
        <v>0</v>
      </c>
    </row>
    <row r="28" spans="1:25" x14ac:dyDescent="0.2">
      <c r="A28" t="s">
        <v>149</v>
      </c>
      <c r="B28">
        <v>30</v>
      </c>
      <c r="C28">
        <v>30</v>
      </c>
      <c r="D28">
        <v>60</v>
      </c>
      <c r="E28">
        <v>36</v>
      </c>
      <c r="F28">
        <v>3</v>
      </c>
      <c r="G28">
        <v>30</v>
      </c>
      <c r="H28">
        <v>48</v>
      </c>
      <c r="I28">
        <v>120</v>
      </c>
      <c r="J28">
        <v>168</v>
      </c>
      <c r="K28">
        <v>56</v>
      </c>
      <c r="L28">
        <v>105000</v>
      </c>
      <c r="M28">
        <v>2700000</v>
      </c>
      <c r="N28">
        <v>33.904752112670799</v>
      </c>
      <c r="O28">
        <v>0</v>
      </c>
      <c r="P28">
        <v>33.904752112670799</v>
      </c>
      <c r="Q28">
        <v>1200000</v>
      </c>
      <c r="R28">
        <v>100000</v>
      </c>
      <c r="S28">
        <v>8</v>
      </c>
      <c r="T28">
        <v>2</v>
      </c>
      <c r="U28">
        <v>30</v>
      </c>
      <c r="V28">
        <v>11</v>
      </c>
      <c r="W28">
        <v>0.56999999999999995</v>
      </c>
      <c r="X28">
        <v>6.7970991134643499E-2</v>
      </c>
      <c r="Y28" s="3">
        <f>(N28-'[1]MM-milano5'!S28)/'[1]MM-milano5'!U28</f>
        <v>0</v>
      </c>
    </row>
    <row r="29" spans="1:25" x14ac:dyDescent="0.2">
      <c r="A29" t="s">
        <v>150</v>
      </c>
      <c r="B29">
        <v>30</v>
      </c>
      <c r="C29">
        <v>30</v>
      </c>
      <c r="D29">
        <v>60</v>
      </c>
      <c r="E29">
        <v>36</v>
      </c>
      <c r="F29">
        <v>3</v>
      </c>
      <c r="G29">
        <v>30</v>
      </c>
      <c r="H29">
        <v>46</v>
      </c>
      <c r="I29">
        <v>120</v>
      </c>
      <c r="J29">
        <v>166</v>
      </c>
      <c r="K29">
        <v>62</v>
      </c>
      <c r="L29">
        <v>105000</v>
      </c>
      <c r="M29">
        <v>2700000</v>
      </c>
      <c r="N29">
        <v>51.474823212449898</v>
      </c>
      <c r="O29">
        <v>0</v>
      </c>
      <c r="P29">
        <v>51.474823212449898</v>
      </c>
      <c r="Q29">
        <v>1500000</v>
      </c>
      <c r="R29">
        <v>100000</v>
      </c>
      <c r="S29">
        <v>10</v>
      </c>
      <c r="T29">
        <v>2</v>
      </c>
      <c r="U29">
        <v>30</v>
      </c>
      <c r="V29">
        <v>19</v>
      </c>
      <c r="W29">
        <v>0.77</v>
      </c>
      <c r="X29">
        <v>0.16345810890197701</v>
      </c>
      <c r="Y29" s="3">
        <f>(N29-'[1]MM-milano5'!S29)/'[1]MM-milano5'!U29</f>
        <v>-1.9325172346071155E-15</v>
      </c>
    </row>
    <row r="30" spans="1:25" x14ac:dyDescent="0.2">
      <c r="A30" t="s">
        <v>151</v>
      </c>
      <c r="B30">
        <v>30</v>
      </c>
      <c r="C30">
        <v>30</v>
      </c>
      <c r="D30">
        <v>60</v>
      </c>
      <c r="E30">
        <v>36</v>
      </c>
      <c r="F30">
        <v>3</v>
      </c>
      <c r="G30">
        <v>30</v>
      </c>
      <c r="H30">
        <v>47</v>
      </c>
      <c r="I30">
        <v>120</v>
      </c>
      <c r="J30">
        <v>167</v>
      </c>
      <c r="K30">
        <v>57</v>
      </c>
      <c r="L30">
        <v>105000</v>
      </c>
      <c r="M30">
        <v>2700000</v>
      </c>
      <c r="N30">
        <v>34.348114150707303</v>
      </c>
      <c r="O30">
        <v>0</v>
      </c>
      <c r="P30">
        <v>34.348114150707303</v>
      </c>
      <c r="Q30">
        <v>1200000</v>
      </c>
      <c r="R30">
        <v>100000</v>
      </c>
      <c r="S30">
        <v>8</v>
      </c>
      <c r="T30">
        <v>2</v>
      </c>
      <c r="U30">
        <v>30</v>
      </c>
      <c r="V30">
        <v>13</v>
      </c>
      <c r="W30">
        <v>0.53</v>
      </c>
      <c r="X30">
        <v>9.3498945236205999E-2</v>
      </c>
      <c r="Y30" s="3">
        <f>(N30-'[1]MM-milano5'!S30)/'[1]MM-milano5'!U30</f>
        <v>0</v>
      </c>
    </row>
    <row r="31" spans="1:25" x14ac:dyDescent="0.2">
      <c r="A31" t="s">
        <v>152</v>
      </c>
      <c r="B31">
        <v>30</v>
      </c>
      <c r="C31">
        <v>30</v>
      </c>
      <c r="D31">
        <v>60</v>
      </c>
      <c r="E31">
        <v>36</v>
      </c>
      <c r="F31">
        <v>3</v>
      </c>
      <c r="G31">
        <v>30</v>
      </c>
      <c r="H31">
        <v>43</v>
      </c>
      <c r="I31">
        <v>120</v>
      </c>
      <c r="J31">
        <v>163</v>
      </c>
      <c r="K31">
        <v>61</v>
      </c>
      <c r="L31">
        <v>105000</v>
      </c>
      <c r="M31">
        <v>2700000</v>
      </c>
      <c r="N31">
        <v>42.583800030746403</v>
      </c>
      <c r="O31">
        <v>0</v>
      </c>
      <c r="P31">
        <v>42.583800030746403</v>
      </c>
      <c r="Q31">
        <v>1350000</v>
      </c>
      <c r="R31">
        <v>100000</v>
      </c>
      <c r="S31">
        <v>9</v>
      </c>
      <c r="T31">
        <v>2</v>
      </c>
      <c r="U31">
        <v>30</v>
      </c>
      <c r="V31">
        <v>16</v>
      </c>
      <c r="W31">
        <v>0.63</v>
      </c>
      <c r="X31">
        <v>8.7896108627319294E-2</v>
      </c>
      <c r="Y31" s="3">
        <f>(N31-'[1]MM-milano5'!S31)/'[1]MM-milano5'!U31</f>
        <v>0</v>
      </c>
    </row>
    <row r="32" spans="1:25" x14ac:dyDescent="0.2">
      <c r="A32" t="s">
        <v>153</v>
      </c>
      <c r="B32">
        <v>40</v>
      </c>
      <c r="C32">
        <v>40</v>
      </c>
      <c r="D32">
        <v>80</v>
      </c>
      <c r="E32">
        <v>36</v>
      </c>
      <c r="F32">
        <v>3</v>
      </c>
      <c r="G32">
        <v>40</v>
      </c>
      <c r="H32">
        <v>60</v>
      </c>
      <c r="I32">
        <v>120</v>
      </c>
      <c r="J32">
        <v>180</v>
      </c>
      <c r="K32">
        <v>71</v>
      </c>
      <c r="L32">
        <v>105000</v>
      </c>
      <c r="M32">
        <v>2700000</v>
      </c>
      <c r="N32">
        <v>46.397465323985998</v>
      </c>
      <c r="O32">
        <v>0</v>
      </c>
      <c r="P32">
        <v>46.397465323985898</v>
      </c>
      <c r="Q32">
        <v>1650000</v>
      </c>
      <c r="R32">
        <v>100000</v>
      </c>
      <c r="S32">
        <v>11</v>
      </c>
      <c r="T32">
        <v>2</v>
      </c>
      <c r="U32">
        <v>40</v>
      </c>
      <c r="V32">
        <v>17</v>
      </c>
      <c r="W32">
        <v>0.4</v>
      </c>
      <c r="X32">
        <v>0.123516082763671</v>
      </c>
      <c r="Y32" s="3">
        <f>(N32-'[1]MM-milano5'!S32)/'[1]MM-milano5'!U32</f>
        <v>0</v>
      </c>
    </row>
    <row r="33" spans="1:25" x14ac:dyDescent="0.2">
      <c r="A33" t="s">
        <v>154</v>
      </c>
      <c r="B33">
        <v>40</v>
      </c>
      <c r="C33">
        <v>40</v>
      </c>
      <c r="D33">
        <v>80</v>
      </c>
      <c r="E33">
        <v>36</v>
      </c>
      <c r="F33">
        <v>3</v>
      </c>
      <c r="G33">
        <v>40</v>
      </c>
      <c r="H33">
        <v>61</v>
      </c>
      <c r="I33">
        <v>120</v>
      </c>
      <c r="J33">
        <v>181</v>
      </c>
      <c r="K33">
        <v>78</v>
      </c>
      <c r="L33">
        <v>105000</v>
      </c>
      <c r="M33">
        <v>2700000</v>
      </c>
      <c r="N33">
        <v>48.373571549456003</v>
      </c>
      <c r="O33">
        <v>0</v>
      </c>
      <c r="P33">
        <v>48.373571549456003</v>
      </c>
      <c r="Q33">
        <v>1950000</v>
      </c>
      <c r="R33">
        <v>100000</v>
      </c>
      <c r="S33">
        <v>13</v>
      </c>
      <c r="T33">
        <v>2</v>
      </c>
      <c r="U33">
        <v>40</v>
      </c>
      <c r="V33">
        <v>18</v>
      </c>
      <c r="W33">
        <v>0.55000000000000004</v>
      </c>
      <c r="X33">
        <v>7.57641792297363E-2</v>
      </c>
      <c r="Y33" s="3">
        <f>(N33-'[1]MM-milano5'!S33)/'[1]MM-milano5'!U33</f>
        <v>-2.0564117930534012E-15</v>
      </c>
    </row>
    <row r="34" spans="1:25" x14ac:dyDescent="0.2">
      <c r="A34" t="s">
        <v>155</v>
      </c>
      <c r="B34">
        <v>40</v>
      </c>
      <c r="C34">
        <v>40</v>
      </c>
      <c r="D34">
        <v>80</v>
      </c>
      <c r="E34">
        <v>36</v>
      </c>
      <c r="F34">
        <v>3</v>
      </c>
      <c r="G34">
        <v>40</v>
      </c>
      <c r="H34">
        <v>62</v>
      </c>
      <c r="I34">
        <v>120</v>
      </c>
      <c r="J34">
        <v>182</v>
      </c>
      <c r="K34">
        <v>74</v>
      </c>
      <c r="L34">
        <v>105000</v>
      </c>
      <c r="M34">
        <v>2700000</v>
      </c>
      <c r="N34">
        <v>50.860022967645698</v>
      </c>
      <c r="O34">
        <v>0</v>
      </c>
      <c r="P34">
        <v>50.860022967645698</v>
      </c>
      <c r="Q34">
        <v>1650000</v>
      </c>
      <c r="R34">
        <v>100000</v>
      </c>
      <c r="S34">
        <v>11</v>
      </c>
      <c r="T34">
        <v>2</v>
      </c>
      <c r="U34">
        <v>40</v>
      </c>
      <c r="V34">
        <v>17</v>
      </c>
      <c r="W34">
        <v>0.6</v>
      </c>
      <c r="X34">
        <v>0.123351097106933</v>
      </c>
      <c r="Y34" s="3">
        <f>(N34-'[1]MM-milano5'!S34)/'[1]MM-milano5'!U34</f>
        <v>0</v>
      </c>
    </row>
    <row r="35" spans="1:25" x14ac:dyDescent="0.2">
      <c r="A35" t="s">
        <v>156</v>
      </c>
      <c r="B35">
        <v>40</v>
      </c>
      <c r="C35">
        <v>40</v>
      </c>
      <c r="D35">
        <v>80</v>
      </c>
      <c r="E35">
        <v>36</v>
      </c>
      <c r="F35">
        <v>3</v>
      </c>
      <c r="G35">
        <v>40</v>
      </c>
      <c r="H35">
        <v>59</v>
      </c>
      <c r="I35">
        <v>120</v>
      </c>
      <c r="J35">
        <v>179</v>
      </c>
      <c r="K35">
        <v>67</v>
      </c>
      <c r="L35">
        <v>105000</v>
      </c>
      <c r="M35">
        <v>2700000</v>
      </c>
      <c r="N35">
        <v>37.174171698462402</v>
      </c>
      <c r="O35">
        <v>0</v>
      </c>
      <c r="P35">
        <v>37.174171698462402</v>
      </c>
      <c r="Q35">
        <v>1350000</v>
      </c>
      <c r="R35">
        <v>100000</v>
      </c>
      <c r="S35">
        <v>9</v>
      </c>
      <c r="T35">
        <v>2</v>
      </c>
      <c r="U35">
        <v>40</v>
      </c>
      <c r="V35">
        <v>14</v>
      </c>
      <c r="W35">
        <v>0.45</v>
      </c>
      <c r="X35">
        <v>8.8108062744140597E-2</v>
      </c>
      <c r="Y35" s="3">
        <f>(N35-'[1]MM-milano5'!S35)/'[1]MM-milano5'!U35</f>
        <v>0</v>
      </c>
    </row>
    <row r="36" spans="1:25" x14ac:dyDescent="0.2">
      <c r="A36" t="s">
        <v>157</v>
      </c>
      <c r="B36">
        <v>40</v>
      </c>
      <c r="C36">
        <v>40</v>
      </c>
      <c r="D36">
        <v>80</v>
      </c>
      <c r="E36">
        <v>36</v>
      </c>
      <c r="F36">
        <v>3</v>
      </c>
      <c r="G36">
        <v>40</v>
      </c>
      <c r="H36">
        <v>59</v>
      </c>
      <c r="I36">
        <v>120</v>
      </c>
      <c r="J36">
        <v>179</v>
      </c>
      <c r="K36">
        <v>76</v>
      </c>
      <c r="L36">
        <v>105000</v>
      </c>
      <c r="M36">
        <v>2700000</v>
      </c>
      <c r="N36">
        <v>49.922518770279403</v>
      </c>
      <c r="O36">
        <v>0</v>
      </c>
      <c r="P36">
        <v>49.922518770279403</v>
      </c>
      <c r="Q36">
        <v>1950000</v>
      </c>
      <c r="R36">
        <v>100000</v>
      </c>
      <c r="S36">
        <v>13</v>
      </c>
      <c r="T36">
        <v>2</v>
      </c>
      <c r="U36">
        <v>40</v>
      </c>
      <c r="V36">
        <v>20</v>
      </c>
      <c r="W36">
        <v>0.5</v>
      </c>
      <c r="X36">
        <v>0.14210486412048301</v>
      </c>
      <c r="Y36" s="3">
        <f>(N36-'[1]MM-milano5'!S36)/'[1]MM-milano5'!U36</f>
        <v>0</v>
      </c>
    </row>
    <row r="37" spans="1:25" x14ac:dyDescent="0.2">
      <c r="A37" t="s">
        <v>158</v>
      </c>
      <c r="B37">
        <v>40</v>
      </c>
      <c r="C37">
        <v>40</v>
      </c>
      <c r="D37">
        <v>80</v>
      </c>
      <c r="E37">
        <v>36</v>
      </c>
      <c r="F37">
        <v>3</v>
      </c>
      <c r="G37">
        <v>40</v>
      </c>
      <c r="H37">
        <v>64</v>
      </c>
      <c r="I37">
        <v>120</v>
      </c>
      <c r="J37">
        <v>184</v>
      </c>
      <c r="K37">
        <v>78</v>
      </c>
      <c r="L37">
        <v>105000</v>
      </c>
      <c r="M37">
        <v>2700000</v>
      </c>
      <c r="N37">
        <v>45.999429511537897</v>
      </c>
      <c r="O37">
        <v>0</v>
      </c>
      <c r="P37">
        <v>45.999429511537798</v>
      </c>
      <c r="Q37">
        <v>1650000</v>
      </c>
      <c r="R37">
        <v>100000</v>
      </c>
      <c r="S37">
        <v>11</v>
      </c>
      <c r="T37">
        <v>2</v>
      </c>
      <c r="U37">
        <v>40</v>
      </c>
      <c r="V37">
        <v>16</v>
      </c>
      <c r="W37">
        <v>0.5</v>
      </c>
      <c r="X37">
        <v>0.123531103134155</v>
      </c>
      <c r="Y37" s="3">
        <f>(N37-'[1]MM-milano5'!S37)/'[1]MM-milano5'!U37</f>
        <v>2.16254818946098E-15</v>
      </c>
    </row>
    <row r="38" spans="1:25" x14ac:dyDescent="0.2">
      <c r="A38" t="s">
        <v>159</v>
      </c>
      <c r="B38">
        <v>40</v>
      </c>
      <c r="C38">
        <v>40</v>
      </c>
      <c r="D38">
        <v>80</v>
      </c>
      <c r="E38">
        <v>36</v>
      </c>
      <c r="F38">
        <v>3</v>
      </c>
      <c r="G38">
        <v>40</v>
      </c>
      <c r="H38">
        <v>67</v>
      </c>
      <c r="I38">
        <v>120</v>
      </c>
      <c r="J38">
        <v>187</v>
      </c>
      <c r="K38">
        <v>83</v>
      </c>
      <c r="L38">
        <v>105000</v>
      </c>
      <c r="M38">
        <v>2700000</v>
      </c>
      <c r="N38">
        <v>53.152202672213498</v>
      </c>
      <c r="O38">
        <v>0</v>
      </c>
      <c r="P38">
        <v>53.152202672213498</v>
      </c>
      <c r="Q38">
        <v>1500000</v>
      </c>
      <c r="R38">
        <v>100000</v>
      </c>
      <c r="S38">
        <v>10</v>
      </c>
      <c r="T38">
        <v>2</v>
      </c>
      <c r="U38">
        <v>40</v>
      </c>
      <c r="V38">
        <v>19</v>
      </c>
      <c r="W38">
        <v>0.47</v>
      </c>
      <c r="X38">
        <v>0.12473416328430099</v>
      </c>
      <c r="Y38" s="3">
        <f>(N38-'[1]MM-milano5'!S38)/'[1]MM-milano5'!U38</f>
        <v>0</v>
      </c>
    </row>
    <row r="39" spans="1:25" x14ac:dyDescent="0.2">
      <c r="A39" t="s">
        <v>160</v>
      </c>
      <c r="B39">
        <v>40</v>
      </c>
      <c r="C39">
        <v>40</v>
      </c>
      <c r="D39">
        <v>80</v>
      </c>
      <c r="E39">
        <v>36</v>
      </c>
      <c r="F39">
        <v>3</v>
      </c>
      <c r="G39">
        <v>40</v>
      </c>
      <c r="H39">
        <v>53</v>
      </c>
      <c r="I39">
        <v>120</v>
      </c>
      <c r="J39">
        <v>173</v>
      </c>
      <c r="K39">
        <v>79</v>
      </c>
      <c r="L39">
        <v>105000</v>
      </c>
      <c r="M39">
        <v>2700000</v>
      </c>
      <c r="N39">
        <v>43.234620308464798</v>
      </c>
      <c r="O39">
        <v>0</v>
      </c>
      <c r="P39">
        <v>43.234620308464798</v>
      </c>
      <c r="Q39">
        <v>1200000</v>
      </c>
      <c r="R39">
        <v>100000</v>
      </c>
      <c r="S39">
        <v>8</v>
      </c>
      <c r="T39">
        <v>2</v>
      </c>
      <c r="U39">
        <v>40</v>
      </c>
      <c r="V39">
        <v>23</v>
      </c>
      <c r="W39">
        <v>0.33</v>
      </c>
      <c r="X39">
        <v>0.14569091796875</v>
      </c>
      <c r="Y39" s="3">
        <f>(N39-'[1]MM-milano5'!S39)/'[1]MM-milano5'!U39</f>
        <v>0</v>
      </c>
    </row>
    <row r="40" spans="1:25" x14ac:dyDescent="0.2">
      <c r="A40" t="s">
        <v>161</v>
      </c>
      <c r="B40">
        <v>40</v>
      </c>
      <c r="C40">
        <v>40</v>
      </c>
      <c r="D40">
        <v>80</v>
      </c>
      <c r="E40">
        <v>36</v>
      </c>
      <c r="F40">
        <v>3</v>
      </c>
      <c r="G40">
        <v>40</v>
      </c>
      <c r="H40">
        <v>58</v>
      </c>
      <c r="I40">
        <v>120</v>
      </c>
      <c r="J40">
        <v>178</v>
      </c>
      <c r="K40">
        <v>70</v>
      </c>
      <c r="L40">
        <v>105000</v>
      </c>
      <c r="M40">
        <v>2700000</v>
      </c>
      <c r="N40">
        <v>41.4585412081234</v>
      </c>
      <c r="O40">
        <v>0</v>
      </c>
      <c r="P40">
        <v>41.4585412081234</v>
      </c>
      <c r="Q40">
        <v>1650000</v>
      </c>
      <c r="R40">
        <v>100000</v>
      </c>
      <c r="S40">
        <v>11</v>
      </c>
      <c r="T40">
        <v>2</v>
      </c>
      <c r="U40">
        <v>40</v>
      </c>
      <c r="V40">
        <v>14</v>
      </c>
      <c r="W40">
        <v>0.53</v>
      </c>
      <c r="X40">
        <v>9.3567132949829102E-2</v>
      </c>
      <c r="Y40" s="3">
        <f>(N40-'[1]MM-milano5'!S40)/'[1]MM-milano5'!U40</f>
        <v>0</v>
      </c>
    </row>
    <row r="41" spans="1:25" x14ac:dyDescent="0.2">
      <c r="A41" t="s">
        <v>162</v>
      </c>
      <c r="B41">
        <v>40</v>
      </c>
      <c r="C41">
        <v>40</v>
      </c>
      <c r="D41">
        <v>80</v>
      </c>
      <c r="E41">
        <v>36</v>
      </c>
      <c r="F41">
        <v>3</v>
      </c>
      <c r="G41">
        <v>40</v>
      </c>
      <c r="H41">
        <v>55</v>
      </c>
      <c r="I41">
        <v>120</v>
      </c>
      <c r="J41">
        <v>175</v>
      </c>
      <c r="K41">
        <v>69</v>
      </c>
      <c r="L41">
        <v>105000</v>
      </c>
      <c r="M41">
        <v>2700000</v>
      </c>
      <c r="N41">
        <v>41.528653421660202</v>
      </c>
      <c r="O41">
        <v>0</v>
      </c>
      <c r="P41">
        <v>41.528653421660202</v>
      </c>
      <c r="Q41">
        <v>1650000</v>
      </c>
      <c r="R41">
        <v>100000</v>
      </c>
      <c r="S41">
        <v>11</v>
      </c>
      <c r="T41">
        <v>2</v>
      </c>
      <c r="U41">
        <v>40</v>
      </c>
      <c r="V41">
        <v>14</v>
      </c>
      <c r="W41">
        <v>0.5</v>
      </c>
      <c r="X41">
        <v>7.46738910675048E-2</v>
      </c>
      <c r="Y41" s="3">
        <f>(N41-'[1]MM-milano5'!S41)/'[1]MM-milano5'!U41</f>
        <v>0</v>
      </c>
    </row>
    <row r="42" spans="1:25" x14ac:dyDescent="0.2">
      <c r="A42" t="s">
        <v>163</v>
      </c>
      <c r="B42">
        <v>50</v>
      </c>
      <c r="C42">
        <v>50</v>
      </c>
      <c r="D42">
        <v>100</v>
      </c>
      <c r="E42">
        <v>36</v>
      </c>
      <c r="F42">
        <v>3</v>
      </c>
      <c r="G42">
        <v>50</v>
      </c>
      <c r="H42">
        <v>69</v>
      </c>
      <c r="I42">
        <v>120</v>
      </c>
      <c r="J42">
        <v>189</v>
      </c>
      <c r="K42">
        <v>80</v>
      </c>
      <c r="L42">
        <v>105000</v>
      </c>
      <c r="M42">
        <v>2700000</v>
      </c>
      <c r="N42">
        <v>46.195567330139703</v>
      </c>
      <c r="O42">
        <v>0</v>
      </c>
      <c r="P42">
        <v>46.195567330139703</v>
      </c>
      <c r="Q42">
        <v>1650000</v>
      </c>
      <c r="R42">
        <v>100000</v>
      </c>
      <c r="S42">
        <v>11</v>
      </c>
      <c r="T42">
        <v>2</v>
      </c>
      <c r="U42">
        <v>50</v>
      </c>
      <c r="V42">
        <v>17</v>
      </c>
      <c r="W42">
        <v>0.46</v>
      </c>
      <c r="X42">
        <v>0.113881111145019</v>
      </c>
      <c r="Y42" s="3">
        <f>(N42-'[1]MM-milano5'!S42)/'[1]MM-milano5'!U42</f>
        <v>0</v>
      </c>
    </row>
    <row r="43" spans="1:25" x14ac:dyDescent="0.2">
      <c r="A43" t="s">
        <v>164</v>
      </c>
      <c r="B43">
        <v>50</v>
      </c>
      <c r="C43">
        <v>50</v>
      </c>
      <c r="D43">
        <v>100</v>
      </c>
      <c r="E43">
        <v>36</v>
      </c>
      <c r="F43">
        <v>3</v>
      </c>
      <c r="G43">
        <v>50</v>
      </c>
      <c r="H43">
        <v>81</v>
      </c>
      <c r="I43">
        <v>120</v>
      </c>
      <c r="J43">
        <v>201</v>
      </c>
      <c r="K43">
        <v>89</v>
      </c>
      <c r="L43">
        <v>105000</v>
      </c>
      <c r="M43">
        <v>2700000</v>
      </c>
      <c r="N43">
        <v>58.533857538790997</v>
      </c>
      <c r="O43">
        <v>0</v>
      </c>
      <c r="P43">
        <v>58.533857538790897</v>
      </c>
      <c r="Q43">
        <v>1500000</v>
      </c>
      <c r="R43">
        <v>100000</v>
      </c>
      <c r="S43">
        <v>10</v>
      </c>
      <c r="T43">
        <v>2</v>
      </c>
      <c r="U43">
        <v>50</v>
      </c>
      <c r="V43">
        <v>16</v>
      </c>
      <c r="W43">
        <v>0.6</v>
      </c>
      <c r="X43">
        <v>0.15764498710632299</v>
      </c>
      <c r="Y43" s="3">
        <f>(N43-'[1]MM-milano5'!S43)/'[1]MM-milano5'!U43</f>
        <v>0</v>
      </c>
    </row>
    <row r="44" spans="1:25" x14ac:dyDescent="0.2">
      <c r="A44" t="s">
        <v>165</v>
      </c>
      <c r="B44">
        <v>50</v>
      </c>
      <c r="C44">
        <v>50</v>
      </c>
      <c r="D44">
        <v>100</v>
      </c>
      <c r="E44">
        <v>36</v>
      </c>
      <c r="F44">
        <v>3</v>
      </c>
      <c r="G44">
        <v>50</v>
      </c>
      <c r="H44">
        <v>64</v>
      </c>
      <c r="I44">
        <v>120</v>
      </c>
      <c r="J44">
        <v>184</v>
      </c>
      <c r="K44">
        <v>97</v>
      </c>
      <c r="L44">
        <v>105000</v>
      </c>
      <c r="M44">
        <v>2700000</v>
      </c>
      <c r="N44">
        <v>60.2272524101462</v>
      </c>
      <c r="O44">
        <v>0</v>
      </c>
      <c r="P44">
        <v>60.2272524101462</v>
      </c>
      <c r="Q44">
        <v>1500000</v>
      </c>
      <c r="R44">
        <v>100000</v>
      </c>
      <c r="S44">
        <v>10</v>
      </c>
      <c r="T44">
        <v>2</v>
      </c>
      <c r="U44">
        <v>50</v>
      </c>
      <c r="V44">
        <v>25</v>
      </c>
      <c r="W44">
        <v>0.44</v>
      </c>
      <c r="X44">
        <v>0.190943002700805</v>
      </c>
      <c r="Y44" s="3">
        <f>(N44-'[1]MM-milano5'!S44)/'[1]MM-milano5'!U44</f>
        <v>0</v>
      </c>
    </row>
    <row r="45" spans="1:25" x14ac:dyDescent="0.2">
      <c r="A45" t="s">
        <v>166</v>
      </c>
      <c r="B45">
        <v>50</v>
      </c>
      <c r="C45">
        <v>50</v>
      </c>
      <c r="D45">
        <v>100</v>
      </c>
      <c r="E45">
        <v>36</v>
      </c>
      <c r="F45">
        <v>3</v>
      </c>
      <c r="G45">
        <v>50</v>
      </c>
      <c r="H45">
        <v>76</v>
      </c>
      <c r="I45">
        <v>120</v>
      </c>
      <c r="J45">
        <v>196</v>
      </c>
      <c r="K45">
        <v>97</v>
      </c>
      <c r="L45">
        <v>105000</v>
      </c>
      <c r="M45">
        <v>2700000</v>
      </c>
      <c r="N45">
        <v>67.511100291182004</v>
      </c>
      <c r="O45">
        <v>0</v>
      </c>
      <c r="P45">
        <v>67.511100291182004</v>
      </c>
      <c r="Q45">
        <v>1650000</v>
      </c>
      <c r="R45">
        <v>100000</v>
      </c>
      <c r="S45">
        <v>11</v>
      </c>
      <c r="T45">
        <v>2</v>
      </c>
      <c r="U45">
        <v>50</v>
      </c>
      <c r="V45">
        <v>26</v>
      </c>
      <c r="W45">
        <v>0.62</v>
      </c>
      <c r="X45">
        <v>0.21588301658630299</v>
      </c>
      <c r="Y45" s="3">
        <f>(N45-'[1]MM-milano5'!S45)/'[1]MM-milano5'!U45</f>
        <v>0</v>
      </c>
    </row>
    <row r="46" spans="1:25" x14ac:dyDescent="0.2">
      <c r="A46" t="s">
        <v>167</v>
      </c>
      <c r="B46">
        <v>50</v>
      </c>
      <c r="C46">
        <v>50</v>
      </c>
      <c r="D46">
        <v>100</v>
      </c>
      <c r="E46">
        <v>36</v>
      </c>
      <c r="F46">
        <v>3</v>
      </c>
      <c r="G46">
        <v>50</v>
      </c>
      <c r="H46">
        <v>72</v>
      </c>
      <c r="I46">
        <v>120</v>
      </c>
      <c r="J46">
        <v>192</v>
      </c>
      <c r="K46">
        <v>108</v>
      </c>
      <c r="L46">
        <v>105000</v>
      </c>
      <c r="M46">
        <v>2700000</v>
      </c>
      <c r="N46">
        <v>68.170568689243694</v>
      </c>
      <c r="O46">
        <v>0</v>
      </c>
      <c r="P46">
        <v>68.170568689243595</v>
      </c>
      <c r="Q46">
        <v>1950000</v>
      </c>
      <c r="R46">
        <v>100000</v>
      </c>
      <c r="S46">
        <v>13</v>
      </c>
      <c r="T46">
        <v>2</v>
      </c>
      <c r="U46">
        <v>50</v>
      </c>
      <c r="V46">
        <v>29</v>
      </c>
      <c r="W46">
        <v>0.54</v>
      </c>
      <c r="X46">
        <v>0.173687934875488</v>
      </c>
      <c r="Y46" s="3">
        <f>(N46-'[1]MM-milano5'!S46)/'[1]MM-milano5'!U46</f>
        <v>0</v>
      </c>
    </row>
    <row r="47" spans="1:25" x14ac:dyDescent="0.2">
      <c r="A47" t="s">
        <v>168</v>
      </c>
      <c r="B47">
        <v>50</v>
      </c>
      <c r="C47">
        <v>50</v>
      </c>
      <c r="D47">
        <v>100</v>
      </c>
      <c r="E47">
        <v>36</v>
      </c>
      <c r="F47">
        <v>3</v>
      </c>
      <c r="G47">
        <v>50</v>
      </c>
      <c r="H47">
        <v>87</v>
      </c>
      <c r="I47">
        <v>120</v>
      </c>
      <c r="J47">
        <v>207</v>
      </c>
      <c r="K47">
        <v>96</v>
      </c>
      <c r="L47">
        <v>105000</v>
      </c>
      <c r="M47">
        <v>2700000</v>
      </c>
      <c r="N47">
        <v>59.613596140198702</v>
      </c>
      <c r="O47">
        <v>0</v>
      </c>
      <c r="P47">
        <v>59.613596140198702</v>
      </c>
      <c r="Q47">
        <v>1650000</v>
      </c>
      <c r="R47">
        <v>100000</v>
      </c>
      <c r="S47">
        <v>11</v>
      </c>
      <c r="T47">
        <v>2</v>
      </c>
      <c r="U47">
        <v>50</v>
      </c>
      <c r="V47">
        <v>18</v>
      </c>
      <c r="W47">
        <v>0.54</v>
      </c>
      <c r="X47">
        <v>0.104106187820434</v>
      </c>
      <c r="Y47" s="3">
        <f>(N47-'[1]MM-milano5'!S47)/'[1]MM-milano5'!U47</f>
        <v>1.6686794531312538E-15</v>
      </c>
    </row>
    <row r="48" spans="1:25" x14ac:dyDescent="0.2">
      <c r="A48" t="s">
        <v>169</v>
      </c>
      <c r="B48">
        <v>50</v>
      </c>
      <c r="C48">
        <v>50</v>
      </c>
      <c r="D48">
        <v>100</v>
      </c>
      <c r="E48">
        <v>36</v>
      </c>
      <c r="F48">
        <v>3</v>
      </c>
      <c r="G48">
        <v>50</v>
      </c>
      <c r="H48">
        <v>70</v>
      </c>
      <c r="I48">
        <v>120</v>
      </c>
      <c r="J48">
        <v>190</v>
      </c>
      <c r="K48">
        <v>97</v>
      </c>
      <c r="L48">
        <v>105000</v>
      </c>
      <c r="M48">
        <v>2700000</v>
      </c>
      <c r="N48">
        <v>66.975869128180193</v>
      </c>
      <c r="O48">
        <v>0</v>
      </c>
      <c r="P48">
        <v>66.975869128180193</v>
      </c>
      <c r="Q48">
        <v>2100000</v>
      </c>
      <c r="R48">
        <v>100000</v>
      </c>
      <c r="S48">
        <v>14</v>
      </c>
      <c r="T48">
        <v>2</v>
      </c>
      <c r="U48">
        <v>50</v>
      </c>
      <c r="V48">
        <v>24</v>
      </c>
      <c r="W48">
        <v>0.5</v>
      </c>
      <c r="X48">
        <v>0.19507884979248</v>
      </c>
      <c r="Y48" s="3">
        <f>(N48-'[1]MM-milano5'!S48)/'[1]MM-milano5'!U48</f>
        <v>0</v>
      </c>
    </row>
    <row r="49" spans="1:25" x14ac:dyDescent="0.2">
      <c r="A49" t="s">
        <v>170</v>
      </c>
      <c r="B49">
        <v>50</v>
      </c>
      <c r="C49">
        <v>50</v>
      </c>
      <c r="D49">
        <v>100</v>
      </c>
      <c r="E49">
        <v>36</v>
      </c>
      <c r="F49">
        <v>3</v>
      </c>
      <c r="G49">
        <v>50</v>
      </c>
      <c r="H49">
        <v>84</v>
      </c>
      <c r="I49">
        <v>120</v>
      </c>
      <c r="J49">
        <v>204</v>
      </c>
      <c r="K49">
        <v>109</v>
      </c>
      <c r="L49">
        <v>105000</v>
      </c>
      <c r="M49">
        <v>2700000</v>
      </c>
      <c r="N49">
        <v>75.606264778819295</v>
      </c>
      <c r="O49">
        <v>0</v>
      </c>
      <c r="P49">
        <v>75.606264778819295</v>
      </c>
      <c r="Q49">
        <v>2100000</v>
      </c>
      <c r="R49">
        <v>100000</v>
      </c>
      <c r="S49">
        <v>14</v>
      </c>
      <c r="T49">
        <v>2</v>
      </c>
      <c r="U49">
        <v>50</v>
      </c>
      <c r="V49">
        <v>27</v>
      </c>
      <c r="W49">
        <v>0.62</v>
      </c>
      <c r="X49">
        <v>0.22132396697998</v>
      </c>
      <c r="Y49" s="3">
        <f>(N49-'[1]MM-milano5'!S49)/'[1]MM-milano5'!U49</f>
        <v>-1.3157108514409983E-15</v>
      </c>
    </row>
    <row r="50" spans="1:25" x14ac:dyDescent="0.2">
      <c r="A50" t="s">
        <v>171</v>
      </c>
      <c r="B50">
        <v>50</v>
      </c>
      <c r="C50">
        <v>50</v>
      </c>
      <c r="D50">
        <v>100</v>
      </c>
      <c r="E50">
        <v>36</v>
      </c>
      <c r="F50">
        <v>3</v>
      </c>
      <c r="G50">
        <v>50</v>
      </c>
      <c r="H50">
        <v>68</v>
      </c>
      <c r="I50">
        <v>120</v>
      </c>
      <c r="J50">
        <v>188</v>
      </c>
      <c r="K50">
        <v>96</v>
      </c>
      <c r="L50">
        <v>105000</v>
      </c>
      <c r="M50">
        <v>2700000</v>
      </c>
      <c r="N50">
        <v>58.8164965154836</v>
      </c>
      <c r="O50">
        <v>0</v>
      </c>
      <c r="P50">
        <v>58.8164965154836</v>
      </c>
      <c r="Q50">
        <v>1500000</v>
      </c>
      <c r="R50">
        <v>100000</v>
      </c>
      <c r="S50">
        <v>10</v>
      </c>
      <c r="T50">
        <v>2</v>
      </c>
      <c r="U50">
        <v>50</v>
      </c>
      <c r="V50">
        <v>25</v>
      </c>
      <c r="W50">
        <v>0.44</v>
      </c>
      <c r="X50">
        <v>0.295459985733032</v>
      </c>
      <c r="Y50" s="3">
        <f>(N50-'[1]MM-milano5'!S50)/'[1]MM-milano5'!U50</f>
        <v>0</v>
      </c>
    </row>
    <row r="51" spans="1:25" x14ac:dyDescent="0.2">
      <c r="A51" t="s">
        <v>172</v>
      </c>
      <c r="B51">
        <v>50</v>
      </c>
      <c r="C51">
        <v>50</v>
      </c>
      <c r="D51">
        <v>100</v>
      </c>
      <c r="E51">
        <v>36</v>
      </c>
      <c r="F51">
        <v>3</v>
      </c>
      <c r="G51">
        <v>50</v>
      </c>
      <c r="H51">
        <v>82</v>
      </c>
      <c r="I51">
        <v>120</v>
      </c>
      <c r="J51">
        <v>202</v>
      </c>
      <c r="K51">
        <v>101</v>
      </c>
      <c r="L51">
        <v>105000</v>
      </c>
      <c r="M51">
        <v>2700000</v>
      </c>
      <c r="N51">
        <v>73.981243168061297</v>
      </c>
      <c r="O51">
        <v>0</v>
      </c>
      <c r="P51">
        <v>73.981243168061297</v>
      </c>
      <c r="Q51">
        <v>2250000</v>
      </c>
      <c r="R51">
        <v>100000</v>
      </c>
      <c r="S51">
        <v>15</v>
      </c>
      <c r="T51">
        <v>2</v>
      </c>
      <c r="U51">
        <v>50</v>
      </c>
      <c r="V51">
        <v>24</v>
      </c>
      <c r="W51">
        <v>0.74</v>
      </c>
      <c r="X51">
        <v>0.29196810722351002</v>
      </c>
      <c r="Y51" s="3">
        <f>(N51-'[1]MM-milano5'!S51)/'[1]MM-milano5'!U51</f>
        <v>1.3446108600856721E-15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MH-roma5</vt:lpstr>
      <vt:lpstr>MH-napoli5</vt:lpstr>
      <vt:lpstr>MH-milano5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SCLAFANI</dc:creator>
  <cp:lastModifiedBy>ALESSIO SCLAFANI</cp:lastModifiedBy>
  <dcterms:created xsi:type="dcterms:W3CDTF">2026-03-10T09:11:19Z</dcterms:created>
  <dcterms:modified xsi:type="dcterms:W3CDTF">2026-03-12T22:08:32Z</dcterms:modified>
</cp:coreProperties>
</file>