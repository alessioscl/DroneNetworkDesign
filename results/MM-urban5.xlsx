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osclafani/Desktop/PhD/crawford/results/"/>
    </mc:Choice>
  </mc:AlternateContent>
  <xr:revisionPtr revIDLastSave="0" documentId="13_ncr:1_{D678115F-A9B6-314C-92F8-33968D59A555}" xr6:coauthVersionLast="47" xr6:coauthVersionMax="47" xr10:uidLastSave="{00000000-0000-0000-0000-000000000000}"/>
  <bookViews>
    <workbookView xWindow="820" yWindow="760" windowWidth="28040" windowHeight="17060" activeTab="2" xr2:uid="{8B2D79CE-CA72-194E-B6B8-B7E9664FC062}"/>
  </bookViews>
  <sheets>
    <sheet name="MM-roma5" sheetId="3" r:id="rId1"/>
    <sheet name="MM-napoli5" sheetId="2" r:id="rId2"/>
    <sheet name="MM-milano5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2" i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2" i="2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2" i="3"/>
</calcChain>
</file>

<file path=xl/sharedStrings.xml><?xml version="1.0" encoding="utf-8"?>
<sst xmlns="http://schemas.openxmlformats.org/spreadsheetml/2006/main" count="549" uniqueCount="336">
  <si>
    <t>F_10;F_16;F_18;F_19;F_3;F_4;F_9</t>
  </si>
  <si>
    <t>HUB_1;HUB_2</t>
  </si>
  <si>
    <t>F_10;F_18;F_19;F_9</t>
  </si>
  <si>
    <t>HUB_1;HUB_3</t>
  </si>
  <si>
    <t>F_19;F_24;F_26</t>
  </si>
  <si>
    <t>HUB_1</t>
  </si>
  <si>
    <t>F_10;F_19</t>
  </si>
  <si>
    <t>F_10;F_11;F_16;F_19;F_24;F_26</t>
  </si>
  <si>
    <t>F_16;F_23;F_25</t>
  </si>
  <si>
    <t>F_18;F_26;F_33</t>
  </si>
  <si>
    <t>F_10;F_19;F_24;F_26;F_33</t>
  </si>
  <si>
    <t>F_1;F_10;F_11;F_17;F_19;F_20</t>
  </si>
  <si>
    <t>HUB_2;HUB_3</t>
  </si>
  <si>
    <t>F_10;F_24;F_25;F_9</t>
  </si>
  <si>
    <t>F_16;F_18;F_19;F_24;F_9</t>
  </si>
  <si>
    <t>F_10;F_15;F_16;F_19;F_23;F_25;F_26;F_8</t>
  </si>
  <si>
    <t>F_10;F_17;F_18;F_19;F_23;F_24;F_25;F_26</t>
  </si>
  <si>
    <t>F_10;F_11;F_19;F_24;F_26;F_9</t>
  </si>
  <si>
    <t>F_10;F_12;F_13;F_17;F_18;F_19;F_20;F_23;F_24;F_25;F_26;F_32;F_33;F_5;F_6</t>
  </si>
  <si>
    <t>F_10;F_12;F_16;F_18;F_19;F_24;F_26;F_9</t>
  </si>
  <si>
    <t>F_10;F_12;F_17;F_18;F_19;F_25;F_26</t>
  </si>
  <si>
    <t>F_10;F_17;F_19;F_31</t>
  </si>
  <si>
    <t>F_16;F_17;F_18;F_20;F_24</t>
  </si>
  <si>
    <t>F_10;F_16;F_19;F_23;F_26;F_9</t>
  </si>
  <si>
    <t>F_10;F_16;F_18;F_19;F_23;F_24;F_25;F_3;F_4;F_9</t>
  </si>
  <si>
    <t>F_10;F_13;F_16;F_17;F_19;F_20;F_24;F_26;F_31</t>
  </si>
  <si>
    <t>F_10;F_11;F_12;F_15;F_17;F_18;F_19;F_20;F_24;F_25;F_26;F_33;F_9</t>
  </si>
  <si>
    <t>F_10;F_16;F_17;F_18;F_19;F_20;F_24;F_26;F_9</t>
  </si>
  <si>
    <t>F_10;F_11;F_12;F_13;F_16;F_17;F_18;F_19;F_20;F_24;F_25;F_26;F_27;F_8;F_9</t>
  </si>
  <si>
    <t>F_10;F_16;F_18;F_19;F_33;F_9</t>
  </si>
  <si>
    <t>F_1;F_10;F_16;F_19;F_24;F_25;F_9</t>
  </si>
  <si>
    <t>F_10;F_12;F_13;F_18;F_20;F_23;F_24;F_25;F_26;F_31</t>
  </si>
  <si>
    <t>F_1;F_10;F_11;F_16;F_18;F_24;F_25;F_26;F_4;F_5</t>
  </si>
  <si>
    <t>F_10;F_12;F_16;F_17;F_19;F_20;F_23;F_24;F_33;F_9</t>
  </si>
  <si>
    <t>F_10;F_11;F_12;F_16;F_19;F_20;F_23;F_24;F_25;F_26;F_31;F_33;F_9</t>
  </si>
  <si>
    <t>F_1;F_10;F_11;F_16;F_17;F_18;F_19;F_23;F_24;F_25;F_26;F_33</t>
  </si>
  <si>
    <t>F_1;F_10;F_11;F_13;F_16;F_17;F_18;F_19;F_23;F_24;F_31</t>
  </si>
  <si>
    <t>F_10;F_17;F_18;F_19;F_20;F_23;F_24;F_26</t>
  </si>
  <si>
    <t>F_11;F_12;F_15;F_16;F_18;F_19;F_20;F_23;F_24;F_25;F_26;F_3;F_4;F_9</t>
  </si>
  <si>
    <t>F_1;F_10;F_11;F_12;F_16;F_18;F_19;F_24;F_25;F_33;F_9</t>
  </si>
  <si>
    <t>F_1;F_10;F_13;F_16;F_17;F_18;F_19;F_24;F_25;F_9</t>
  </si>
  <si>
    <t>F_10;F_11;F_12;F_13;F_16;F_18;F_19;F_23;F_24;F_25;F_26;F_29;F_3;F_32;F_33;F_34;F_5;F_9</t>
  </si>
  <si>
    <t>F_10;F_13;F_17;F_18;F_19;F_20;F_23;F_24;F_25;F_26;F_33</t>
  </si>
  <si>
    <t>F_10;F_12;F_15;F_16;F_17;F_18;F_19;F_24;F_26;F_33;F_9</t>
  </si>
  <si>
    <t>F_10;F_15;F_17;F_18;F_20;F_23;F_24;F_25;F_9</t>
  </si>
  <si>
    <t>F_1;F_10;F_11;F_16;F_17;F_18;F_19;F_24;F_25;F_26</t>
  </si>
  <si>
    <t>F_1;F_10;F_12;F_16;F_17;F_19;F_20;F_25;F_26;F_33;F_9</t>
  </si>
  <si>
    <t>F_1;F_10;F_13;F_16;F_17;F_19;F_24;F_25;F_26;F_33;F_9</t>
  </si>
  <si>
    <t>F_10;F_11;F_12;F_14;F_16;F_17;F_18;F_19;F_20;F_21;F_23;F_24;F_25;F_26;F_27;F_33;F_6;F_9</t>
  </si>
  <si>
    <t>F_10;F_16;F_18;F_20;F_23;F_24;F_25;F_33</t>
  </si>
  <si>
    <t>F_10;F_11;F_12;F_16;F_17;F_18;F_19;F_20;F_24;F_25;F_26;F_3;F_4;F_9</t>
  </si>
  <si>
    <t>F_10;F_11;F_16;F_17;F_18;F_19;F_20;F_24;F_25;F_26;F_31;F_32;F_33;F_9</t>
  </si>
  <si>
    <t>F_1;F_10;F_16;F_17;F_18;F_19;F_23;F_24;F_25;F_9</t>
  </si>
  <si>
    <t>F_1;F_10;F_15;F_16;F_18;F_19;F_22;F_23;F_24;F_25;F_26;F_3;F_31;F_33;F_4;F_9</t>
  </si>
  <si>
    <t>N.H. o-d</t>
  </si>
  <si>
    <t>N.C.</t>
  </si>
  <si>
    <t>N.H.</t>
  </si>
  <si>
    <t>N.F.</t>
  </si>
  <si>
    <t>N. HUBS</t>
  </si>
  <si>
    <t>N.A.</t>
  </si>
  <si>
    <t>N.D.H</t>
  </si>
  <si>
    <t>N.D.HUBS</t>
  </si>
  <si>
    <t>N.D.</t>
  </si>
  <si>
    <t>N.D.R</t>
  </si>
  <si>
    <t>B.U.</t>
  </si>
  <si>
    <t>B.F.</t>
  </si>
  <si>
    <t>N.URGENT</t>
  </si>
  <si>
    <t>N.NON-URGENT</t>
  </si>
  <si>
    <t>LB</t>
  </si>
  <si>
    <t>GAP</t>
  </si>
  <si>
    <t>C.OBJ</t>
  </si>
  <si>
    <t>T.OBJ</t>
  </si>
  <si>
    <t>C.PEN</t>
  </si>
  <si>
    <t>C.OPER</t>
  </si>
  <si>
    <t>L.C.R</t>
  </si>
  <si>
    <t>LOG.R</t>
  </si>
  <si>
    <t>C.F.A</t>
  </si>
  <si>
    <t>C.HUBS.A</t>
  </si>
  <si>
    <t xml:space="preserve">N.F.A </t>
  </si>
  <si>
    <t xml:space="preserve">N.HUBS.A </t>
  </si>
  <si>
    <t>N. ARCS</t>
  </si>
  <si>
    <t>N. HUBS ARCS</t>
  </si>
  <si>
    <t>ACTIVE_FACILITIES</t>
  </si>
  <si>
    <t>ACTIVE_HUBS</t>
  </si>
  <si>
    <t>Model Build Time</t>
  </si>
  <si>
    <t>Optimization Execution Time</t>
  </si>
  <si>
    <t>TIME(s)</t>
  </si>
  <si>
    <t>F_10;F_13;F_14;F_15;F_18;F_19;F_2;F_20;F_24;F_25;F_27;F_3;F_4;F_8;F_9</t>
  </si>
  <si>
    <t>F_14;F_3;F_9</t>
  </si>
  <si>
    <t>F_15;F_20</t>
  </si>
  <si>
    <t>F_14;F_15;F_7</t>
  </si>
  <si>
    <t>F_19;F_3;F_8</t>
  </si>
  <si>
    <t>F_14;F_19;F_3;F_7;F_9</t>
  </si>
  <si>
    <t>F_13;F_14;F_15;F_7</t>
  </si>
  <si>
    <t>F_14;F_15;F_19;F_9</t>
  </si>
  <si>
    <t>F_14;F_19;F_9</t>
  </si>
  <si>
    <t>F_14;F_23;F_24;F_25;F_9</t>
  </si>
  <si>
    <t>F_13;F_14;F_19;F_3</t>
  </si>
  <si>
    <t>F_11;F_12;F_13;F_14;F_15;F_17;F_18;F_19;F_3;F_4;F_6;F_7;F_8;F_9</t>
  </si>
  <si>
    <t>F_13;F_14;F_15;F_18;F_19;F_20;F_23;F_24;F_25;F_3;F_4;F_5;F_8;F_9</t>
  </si>
  <si>
    <t>F_13;F_15;F_19;F_2;F_20;F_24;F_8</t>
  </si>
  <si>
    <t>F_12;F_14;F_15;F_17;F_18;F_19;F_4;F_5;F_7;F_8</t>
  </si>
  <si>
    <t>F_13;F_14;F_15;F_19;F_7</t>
  </si>
  <si>
    <t>F_14;F_15;F_19;F_20;F_3;F_9</t>
  </si>
  <si>
    <t>F_13;F_14;F_15;F_19;F_7;F_8</t>
  </si>
  <si>
    <t>F_13;F_14;F_15;F_20;F_4;F_7;F_8;F_9</t>
  </si>
  <si>
    <t>F_13;F_14;F_15;F_18;F_19;F_20;F_24;F_25;F_3;F_8;F_9</t>
  </si>
  <si>
    <t>F_13;F_14;F_15;F_19;F_2;F_3;F_4;F_8</t>
  </si>
  <si>
    <t>F_10;F_13;F_14;F_15;F_19;F_20</t>
  </si>
  <si>
    <t>F_13;F_14;F_15;F_18;F_19;F_20;F_8;F_9</t>
  </si>
  <si>
    <t>F_12;F_13;F_14;F_15;F_18;F_19;F_3;F_4;F_5;F_7;F_8;F_9</t>
  </si>
  <si>
    <t>F_12;F_13;F_14;F_15;F_18;F_19;F_3;F_8;F_9</t>
  </si>
  <si>
    <t>F_14;F_20</t>
  </si>
  <si>
    <t>F_14;F_19;F_4;F_8;F_9</t>
  </si>
  <si>
    <t>F_14;F_15;F_18;F_19;F_2;F_20;F_3;F_8;F_9</t>
  </si>
  <si>
    <t>F_10;F_12;F_13;F_14;F_15;F_18;F_19;F_3;F_8</t>
  </si>
  <si>
    <t>F_14;F_15;F_19;F_24;F_8;F_9</t>
  </si>
  <si>
    <t>F_1;F_12;F_13;F_14;F_15;F_18;F_19;F_2;F_20;F_25;F_3;F_4;F_7;F_8;F_9</t>
  </si>
  <si>
    <t>F_13;F_14;F_15;F_19;F_4;F_8;F_9</t>
  </si>
  <si>
    <t>F_13;F_14;F_15;F_19;F_20;F_24;F_4;F_8</t>
  </si>
  <si>
    <t>F_10;F_13;F_14;F_15;F_19;F_20;F_8;F_9</t>
  </si>
  <si>
    <t>F_13;F_14;F_15;F_19;F_20;F_3</t>
  </si>
  <si>
    <t>F_10;F_13;F_14;F_19;F_7;F_8;F_9</t>
  </si>
  <si>
    <t>F_12;F_13;F_14;F_19;F_7;F_8</t>
  </si>
  <si>
    <t>F_10;F_13;F_14;F_15;F_18;F_19;F_24;F_3;F_9</t>
  </si>
  <si>
    <t>F_14;F_19;F_7;F_9</t>
  </si>
  <si>
    <t>F_14;F_15;F_19;F_20;F_3;F_4;F_9</t>
  </si>
  <si>
    <t>F_13;F_14;F_15;F_19;F_20;F_3;F_7;F_8;F_9</t>
  </si>
  <si>
    <t>F_14;F_15;F_19;F_20;F_7;F_8</t>
  </si>
  <si>
    <t>F_10;F_12;F_13;F_14;F_15;F_18;F_19;F_2;F_20;F_3;F_30;F_6;F_7;F_8;F_9</t>
  </si>
  <si>
    <t>F_13;F_14;F_15;F_19;F_3;F_7</t>
  </si>
  <si>
    <t>F_14;F_15;F_19;F_2;F_20;F_7;F_8</t>
  </si>
  <si>
    <t>F_10;F_14;F_15;F_19;F_2;F_20;F_3;F_4;F_7;F_8</t>
  </si>
  <si>
    <t>F_10;F_13;F_14;F_15;F_18;F_19;F_20;F_25;F_3;F_7</t>
  </si>
  <si>
    <t>F_10;F_13;F_14;F_15;F_19;F_3;F_7</t>
  </si>
  <si>
    <t>F_12;F_13;F_14;F_15;F_18;F_19;F_20;F_24;F_3;F_4;F_8</t>
  </si>
  <si>
    <t>F_10;F_13;F_14;F_15;F_19;F_20;F_3;F_4;F_7;F_8;F_9</t>
  </si>
  <si>
    <t>F_11;F_17;F_19;F_26;F_9</t>
  </si>
  <si>
    <t>F_17;F_18;F_2;F_4</t>
  </si>
  <si>
    <t>F_16;F_19;F_24</t>
  </si>
  <si>
    <t>F_11</t>
  </si>
  <si>
    <t>F_11;F_16;F_24;F_26;F_9</t>
  </si>
  <si>
    <t>F_17;F_26</t>
  </si>
  <si>
    <t>F_17;F_18;F_26;F_9</t>
  </si>
  <si>
    <t>F_17;F_25</t>
  </si>
  <si>
    <t>F_17;F_24</t>
  </si>
  <si>
    <t>F_17;F_18;F_26</t>
  </si>
  <si>
    <t>F_16;F_18;F_19;F_24;F_25;F_31;F_8;F_9</t>
  </si>
  <si>
    <t>F_1;F_10;F_11;F_12;F_16;F_17;F_18;F_19;F_2;F_20;F_23;F_24;F_25;F_26;F_27;F_32;F_4;F_8;F_9</t>
  </si>
  <si>
    <t>F_10;F_11;F_16;F_17;F_18;F_25;F_26;F_9</t>
  </si>
  <si>
    <t>F_16;F_17;F_18;F_2;F_4;F_8;F_9</t>
  </si>
  <si>
    <t>F_11;F_17;F_18;F_19;F_24;F_25;F_26;F_9</t>
  </si>
  <si>
    <t>F_11;F_12;F_15;F_16;F_19;F_2;F_20;F_21;F_25;F_27;F_31;F_32;F_33;F_39;F_4;F_40;F_8;F_9</t>
  </si>
  <si>
    <t>F_11;F_16;F_17;F_18;F_24;F_26;F_31</t>
  </si>
  <si>
    <t>F_1;F_10;F_12;F_15;F_16;F_17;F_18;F_19;F_2;F_23;F_24;F_25;F_26;F_31;F_8;F_9</t>
  </si>
  <si>
    <t>F_11;F_16;F_17;F_18;F_19;F_24;F_25;F_9</t>
  </si>
  <si>
    <t>F_11;F_16;F_17;F_18;F_19;F_24;F_25;F_8;F_9</t>
  </si>
  <si>
    <t>F_16;F_17;F_18;F_19;F_2;F_24;F_25;F_26;F_31;F_32;F_33;F_4</t>
  </si>
  <si>
    <t>F_12;F_16;F_17;F_2;F_23;F_4;F_9</t>
  </si>
  <si>
    <t>F_11;F_12;F_15;F_16;F_17;F_18;F_2;F_24;F_25;F_26;F_4;F_8</t>
  </si>
  <si>
    <t>F_17;F_18;F_2;F_23;F_24;F_26;F_31;F_4;F_9</t>
  </si>
  <si>
    <t>F_11;F_17;F_19;F_23;F_25;F_32;F_9</t>
  </si>
  <si>
    <t>F_10;F_11;F_16;F_17;F_18;F_19;F_24;F_25;F_26;F_9</t>
  </si>
  <si>
    <t>F_11;F_16;F_17;F_18;F_19;F_23;F_24;F_25;F_26;F_9</t>
  </si>
  <si>
    <t>F_10;F_11;F_16;F_17;F_18;F_19;F_24;F_26;F_31;F_9</t>
  </si>
  <si>
    <t>F_11;F_12;F_16;F_17;F_24;F_25;F_9</t>
  </si>
  <si>
    <t>F_10;F_11;F_15;F_17;F_18;F_19;F_23;F_24;F_25;F_26;F_31;F_32;F_33;F_35;F_8;F_9</t>
  </si>
  <si>
    <t>F_11;F_16;F_17;F_18;F_19;F_2;F_23;F_24;F_25;F_4;F_8;F_9</t>
  </si>
  <si>
    <t>F_11;F_12;F_16;F_17;F_18;F_19;F_24;F_25;F_26;F_9</t>
  </si>
  <si>
    <t>F_11;F_16;F_17;F_18;F_19;F_25;F_26;F_8;F_9</t>
  </si>
  <si>
    <t>F_10;F_11;F_16;F_17;F_18;F_19;F_25;F_26;F_31;F_8</t>
  </si>
  <si>
    <t>F_10;F_11;F_16;F_17;F_18;F_23;F_24;F_25;F_31;F_9</t>
  </si>
  <si>
    <t>F_11;F_16;F_17;F_18;F_24;F_32;F_9</t>
  </si>
  <si>
    <t>F_10;F_11;F_12;F_13;F_15;F_16;F_17;F_18;F_19;F_2;F_23;F_24;F_25;F_3;F_30;F_31;F_32;F_8;F_9</t>
  </si>
  <si>
    <t>F_11;F_12;F_16;F_17;F_18;F_19;F_24;F_25;F_26;F_31;F_32</t>
  </si>
  <si>
    <t>F_11;F_15;F_16;F_17;F_18;F_2;F_23;F_24;F_25;F_26;F_4;F_9</t>
  </si>
  <si>
    <t>F_10;F_11;F_16;F_17;F_18;F_19;F_23;F_24;F_25;F_32;F_9</t>
  </si>
  <si>
    <t>F_11;F_16;F_17;F_18;F_2;F_24;F_25;F_26;F_31;F_4;F_9</t>
  </si>
  <si>
    <t>F_10;F_11;F_15;F_16;F_17;F_18;F_19;F_25;F_26;F_32;F_8;F_9</t>
  </si>
  <si>
    <t>F_11;F_16;F_17;F_18;F_23;F_24;F_25;F_26;F_32;F_8;F_9</t>
  </si>
  <si>
    <t>F_10;F_11;F_12;F_16;F_17;F_18;F_23;F_24;F_25;F_31;F_32;F_8;F_9</t>
  </si>
  <si>
    <t>F_10;F_16;F_17;F_18;F_19;F_25;F_26;F_8;F_9</t>
  </si>
  <si>
    <t>F_10;F_11;F_16;F_17;F_18;F_19;F_23;F_24;F_25;F_9</t>
  </si>
  <si>
    <t>F_11;F_16;F_17;F_18;F_19;F_25;F_31;F_9</t>
  </si>
  <si>
    <t>F_10;F_16;F_17;F_18;F_19;F_23;F_24;F_26;F_8;F_9</t>
  </si>
  <si>
    <t>F_10;F_11;F_12;F_16;F_17;F_18;F_19;F_2;F_23;F_24;F_25;F_26;F_4;F_8;F_9</t>
  </si>
  <si>
    <t>ROMA-10-1-c</t>
  </si>
  <si>
    <t>ROMA-10-1-nc</t>
  </si>
  <si>
    <t>ROMA-10-2-c</t>
  </si>
  <si>
    <t>ROMA-10-2-nc</t>
  </si>
  <si>
    <t>ROMA-10-3-c</t>
  </si>
  <si>
    <t>ROMA-10-3-nc</t>
  </si>
  <si>
    <t>ROMA-10-4-c</t>
  </si>
  <si>
    <t>ROMA-10-4-nc</t>
  </si>
  <si>
    <t>ROMA-10-5-c</t>
  </si>
  <si>
    <t>ROMA-10-5-nc</t>
  </si>
  <si>
    <t>ROMA-20-1-c</t>
  </si>
  <si>
    <t>ROMA-20-1-nc</t>
  </si>
  <si>
    <t>ROMA-20-2-c</t>
  </si>
  <si>
    <t>ROMA-20-2-nc</t>
  </si>
  <si>
    <t>ROMA-20-3-c</t>
  </si>
  <si>
    <t>ROMA-20-3-nc</t>
  </si>
  <si>
    <t>ROMA-20-4-c</t>
  </si>
  <si>
    <t>ROMA-20-4-nc</t>
  </si>
  <si>
    <t>ROMA-20-5-c</t>
  </si>
  <si>
    <t>ROMA-20-5-nc</t>
  </si>
  <si>
    <t>ROMA-30-1-c</t>
  </si>
  <si>
    <t>ROMA-30-1-nc</t>
  </si>
  <si>
    <t>ROMA-30-2-c</t>
  </si>
  <si>
    <t>ROMA-30-2-nc</t>
  </si>
  <si>
    <t>ROMA-30-3-c</t>
  </si>
  <si>
    <t>ROMA-30-3-nc</t>
  </si>
  <si>
    <t>ROMA-30-4-c</t>
  </si>
  <si>
    <t>ROMA-30-4-nc</t>
  </si>
  <si>
    <t>ROMA-30-5-c</t>
  </si>
  <si>
    <t>ROMA-30-5-nc</t>
  </si>
  <si>
    <t>ROMA-40-1-c</t>
  </si>
  <si>
    <t>ROMA-40-1-nc</t>
  </si>
  <si>
    <t>ROMA-40-2-c</t>
  </si>
  <si>
    <t>ROMA-40-2-nc</t>
  </si>
  <si>
    <t>ROMA-40-3-c</t>
  </si>
  <si>
    <t>ROMA-40-3-nc</t>
  </si>
  <si>
    <t>ROMA-40-4-c</t>
  </si>
  <si>
    <t>ROMA-40-4-nc</t>
  </si>
  <si>
    <t>ROMA-40-5-c</t>
  </si>
  <si>
    <t>ROMA-40-5-nc</t>
  </si>
  <si>
    <t>ROMA-50-1-c</t>
  </si>
  <si>
    <t>ROMA-50-1-nc</t>
  </si>
  <si>
    <t>ROMA-50-2-c</t>
  </si>
  <si>
    <t>ROMA-50-2-nc</t>
  </si>
  <si>
    <t>ROMA-50-3-c</t>
  </si>
  <si>
    <t>ROMA-50-3-nc</t>
  </si>
  <si>
    <t>ROMA-50-4-c</t>
  </si>
  <si>
    <t>ROMA-50-4-nc</t>
  </si>
  <si>
    <t>ROMA-50-5-c</t>
  </si>
  <si>
    <t>ROMA-50-5-nc</t>
  </si>
  <si>
    <t>NAPOLI-10-1-c</t>
  </si>
  <si>
    <t>NAPOLI-10-1-nc</t>
  </si>
  <si>
    <t>NAPOLI-10-2-c</t>
  </si>
  <si>
    <t>NAPOLI-10-2-nc</t>
  </si>
  <si>
    <t>NAPOLI-10-3-c</t>
  </si>
  <si>
    <t>NAPOLI-10-3-nc</t>
  </si>
  <si>
    <t>NAPOLI-10-4-c</t>
  </si>
  <si>
    <t>NAPOLI-10-4-nc</t>
  </si>
  <si>
    <t>NAPOLI-10-5-c</t>
  </si>
  <si>
    <t>NAPOLI-10-5-nc</t>
  </si>
  <si>
    <t>NAPOLI-20-1-c</t>
  </si>
  <si>
    <t>NAPOLI-20-1-nc</t>
  </si>
  <si>
    <t>NAPOLI-20-2-c</t>
  </si>
  <si>
    <t>NAPOLI-20-2-nc</t>
  </si>
  <si>
    <t>NAPOLI-20-3-c</t>
  </si>
  <si>
    <t>NAPOLI-20-3-nc</t>
  </si>
  <si>
    <t>NAPOLI-20-4-c</t>
  </si>
  <si>
    <t>NAPOLI-20-4-nc</t>
  </si>
  <si>
    <t>NAPOLI-20-5-c</t>
  </si>
  <si>
    <t>NAPOLI-20-5-nc</t>
  </si>
  <si>
    <t>NAPOLI-30-1-c</t>
  </si>
  <si>
    <t>NAPOLI-30-1-nc</t>
  </si>
  <si>
    <t>NAPOLI-30-2-c</t>
  </si>
  <si>
    <t>NAPOLI-30-2-nc</t>
  </si>
  <si>
    <t>NAPOLI-30-3-c</t>
  </si>
  <si>
    <t>NAPOLI-30-3-nc</t>
  </si>
  <si>
    <t>NAPOLI-30-4-c</t>
  </si>
  <si>
    <t>NAPOLI-30-4-nc</t>
  </si>
  <si>
    <t>NAPOLI-30-5-c</t>
  </si>
  <si>
    <t>NAPOLI-30-5-nc</t>
  </si>
  <si>
    <t>NAPOLI-40-1-c</t>
  </si>
  <si>
    <t>NAPOLI-40-1-nc</t>
  </si>
  <si>
    <t>NAPOLI-40-2-c</t>
  </si>
  <si>
    <t>NAPOLI-40-2-nc</t>
  </si>
  <si>
    <t>NAPOLI-40-3-c</t>
  </si>
  <si>
    <t>NAPOLI-40-3-nc</t>
  </si>
  <si>
    <t>NAPOLI-40-4-c</t>
  </si>
  <si>
    <t>NAPOLI-40-4-nc</t>
  </si>
  <si>
    <t>NAPOLI-40-5-c</t>
  </si>
  <si>
    <t>NAPOLI-40-5-nc</t>
  </si>
  <si>
    <t>NAPOLI-50-1-c</t>
  </si>
  <si>
    <t>NAPOLI-50-1-nc</t>
  </si>
  <si>
    <t>NAPOLI-50-2-c</t>
  </si>
  <si>
    <t>NAPOLI-50-2-nc</t>
  </si>
  <si>
    <t>NAPOLI-50-3-c</t>
  </si>
  <si>
    <t>NAPOLI-50-3-nc</t>
  </si>
  <si>
    <t>NAPOLI-50-4-c</t>
  </si>
  <si>
    <t>NAPOLI-50-4-nc</t>
  </si>
  <si>
    <t>NAPOLI-50-5-c</t>
  </si>
  <si>
    <t>NAPOLI-50-5-nc</t>
  </si>
  <si>
    <t>MILANO-10-1-c</t>
  </si>
  <si>
    <t>MILANO-10-1-nc</t>
  </si>
  <si>
    <t>MILANO-10-2-c</t>
  </si>
  <si>
    <t>MILANO-10-2-nc</t>
  </si>
  <si>
    <t>MILANO-10-3-c</t>
  </si>
  <si>
    <t>MILANO-10-3-nc</t>
  </si>
  <si>
    <t>MILANO-10-4-c</t>
  </si>
  <si>
    <t>MILANO-10-4-nc</t>
  </si>
  <si>
    <t>MILANO-10-5-c</t>
  </si>
  <si>
    <t>MILANO-10-5-nc</t>
  </si>
  <si>
    <t>MILANO-20-1-c</t>
  </si>
  <si>
    <t>MILANO-20-1-nc</t>
  </si>
  <si>
    <t>MILANO-20-2-c</t>
  </si>
  <si>
    <t>MILANO-20-2-nc</t>
  </si>
  <si>
    <t>MILANO-20-3-c</t>
  </si>
  <si>
    <t>MILANO-20-3-nc</t>
  </si>
  <si>
    <t>MILANO-20-4-c</t>
  </si>
  <si>
    <t>MILANO-20-4-nc</t>
  </si>
  <si>
    <t>MILANO-20-5-c</t>
  </si>
  <si>
    <t>MILANO-20-5-nc</t>
  </si>
  <si>
    <t>MILANO-30-1-c</t>
  </si>
  <si>
    <t>MILANO-30-1-nc</t>
  </si>
  <si>
    <t>MILANO-30-2-c</t>
  </si>
  <si>
    <t>MILANO-30-2-nc</t>
  </si>
  <si>
    <t>MILANO-30-3-c</t>
  </si>
  <si>
    <t>MILANO-30-3-nc</t>
  </si>
  <si>
    <t>MILANO-30-4-c</t>
  </si>
  <si>
    <t>MILANO-30-4-nc</t>
  </si>
  <si>
    <t>MILANO-30-5-c</t>
  </si>
  <si>
    <t>MILANO-30-5-nc</t>
  </si>
  <si>
    <t>MILANO-40-1-c</t>
  </si>
  <si>
    <t>MILANO-40-1-nc</t>
  </si>
  <si>
    <t>MILANO-40-2-c</t>
  </si>
  <si>
    <t>MILANO-40-2-nc</t>
  </si>
  <si>
    <t>MILANO-40-3-c</t>
  </si>
  <si>
    <t>MILANO-40-3-nc</t>
  </si>
  <si>
    <t>MILANO-40-4-c</t>
  </si>
  <si>
    <t>MILANO-40-4-nc</t>
  </si>
  <si>
    <t>MILANO-40-5-c</t>
  </si>
  <si>
    <t>MILANO-40-5-nc</t>
  </si>
  <si>
    <t>MILANO-50-1-c</t>
  </si>
  <si>
    <t>MILANO-50-1-nc</t>
  </si>
  <si>
    <t>MILANO-50-2-c</t>
  </si>
  <si>
    <t>MILANO-50-2-nc</t>
  </si>
  <si>
    <t>MILANO-50-3-c</t>
  </si>
  <si>
    <t>MILANO-50-3-nc</t>
  </si>
  <si>
    <t>MILANO-50-4-c</t>
  </si>
  <si>
    <t>MILANO-50-4-nc</t>
  </si>
  <si>
    <t>MILANO-50-5-c</t>
  </si>
  <si>
    <t>MILANO-50-5-nc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</si>
</sst>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1B722-279D-2743-A951-F1061F019B44}">
  <dimension ref="A1:AH51"/>
  <sheetViews>
    <sheetView workbookViewId="0">
      <selection activeCell="A2" sqref="A2:A51"/>
    </sheetView>
  </sheetViews>
  <sheetFormatPr baseColWidth="10" defaultRowHeight="16" x14ac:dyDescent="0.2"/>
  <sheetData>
    <row r="1" spans="1:34" x14ac:dyDescent="0.2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</row>
    <row r="2" spans="1:34" x14ac:dyDescent="0.2">
      <c r="A2" t="s">
        <v>186</v>
      </c>
      <c r="B2">
        <v>10</v>
      </c>
      <c r="C2">
        <v>10</v>
      </c>
      <c r="D2">
        <v>20</v>
      </c>
      <c r="E2">
        <v>41</v>
      </c>
      <c r="F2">
        <v>3</v>
      </c>
      <c r="G2">
        <v>1074</v>
      </c>
      <c r="H2">
        <v>14</v>
      </c>
      <c r="I2">
        <v>120</v>
      </c>
      <c r="J2">
        <v>134</v>
      </c>
      <c r="K2">
        <v>23</v>
      </c>
      <c r="L2">
        <v>105000</v>
      </c>
      <c r="M2">
        <v>3075000</v>
      </c>
      <c r="N2">
        <v>2</v>
      </c>
      <c r="O2">
        <v>8</v>
      </c>
      <c r="P2">
        <v>14.0116393378949</v>
      </c>
      <c r="Q2">
        <v>0</v>
      </c>
      <c r="R2">
        <v>850000</v>
      </c>
      <c r="S2">
        <v>14.0116393378949</v>
      </c>
      <c r="T2">
        <v>0</v>
      </c>
      <c r="U2">
        <v>14.0116393378949</v>
      </c>
      <c r="V2">
        <v>0</v>
      </c>
      <c r="W2">
        <v>38.784918013684802</v>
      </c>
      <c r="X2">
        <f>150000*Z2</f>
        <v>750000</v>
      </c>
      <c r="Y2">
        <v>100000</v>
      </c>
      <c r="Z2">
        <v>5</v>
      </c>
      <c r="AA2">
        <v>2</v>
      </c>
      <c r="AB2">
        <v>46</v>
      </c>
      <c r="AC2">
        <v>10</v>
      </c>
      <c r="AD2" t="s">
        <v>137</v>
      </c>
      <c r="AE2" t="s">
        <v>1</v>
      </c>
      <c r="AF2">
        <v>13.5188107490539</v>
      </c>
      <c r="AG2">
        <v>7.70804715156555</v>
      </c>
      <c r="AH2">
        <v>21.2268579006195</v>
      </c>
    </row>
    <row r="3" spans="1:34" x14ac:dyDescent="0.2">
      <c r="A3" t="s">
        <v>187</v>
      </c>
      <c r="B3">
        <v>10</v>
      </c>
      <c r="C3">
        <v>10</v>
      </c>
      <c r="D3">
        <v>20</v>
      </c>
      <c r="E3">
        <v>41</v>
      </c>
      <c r="F3">
        <v>3</v>
      </c>
      <c r="G3">
        <v>1075</v>
      </c>
      <c r="H3">
        <v>13</v>
      </c>
      <c r="I3">
        <v>120</v>
      </c>
      <c r="J3">
        <v>133</v>
      </c>
      <c r="K3">
        <v>20</v>
      </c>
      <c r="L3">
        <v>105000</v>
      </c>
      <c r="M3">
        <v>3075000</v>
      </c>
      <c r="N3">
        <v>0</v>
      </c>
      <c r="O3">
        <v>10</v>
      </c>
      <c r="P3">
        <v>13.2519321021894</v>
      </c>
      <c r="Q3">
        <v>0</v>
      </c>
      <c r="R3">
        <v>700000</v>
      </c>
      <c r="S3">
        <v>13.2519321021894</v>
      </c>
      <c r="T3">
        <v>0</v>
      </c>
      <c r="U3">
        <v>13.2519321021894</v>
      </c>
      <c r="V3">
        <v>0</v>
      </c>
      <c r="W3">
        <v>36.505796306568399</v>
      </c>
      <c r="X3">
        <f t="shared" ref="X3:X51" si="0">150000*Z3</f>
        <v>600000</v>
      </c>
      <c r="Y3">
        <v>100000</v>
      </c>
      <c r="Z3">
        <v>4</v>
      </c>
      <c r="AA3">
        <v>2</v>
      </c>
      <c r="AB3">
        <v>41</v>
      </c>
      <c r="AC3">
        <v>8</v>
      </c>
      <c r="AD3" t="s">
        <v>138</v>
      </c>
      <c r="AE3" t="s">
        <v>3</v>
      </c>
      <c r="AF3">
        <v>13.816669940948399</v>
      </c>
      <c r="AG3">
        <v>7.3848459720611501</v>
      </c>
      <c r="AH3">
        <v>21.201515913009601</v>
      </c>
    </row>
    <row r="4" spans="1:34" x14ac:dyDescent="0.2">
      <c r="A4" t="s">
        <v>188</v>
      </c>
      <c r="B4">
        <v>10</v>
      </c>
      <c r="C4">
        <v>10</v>
      </c>
      <c r="D4">
        <v>20</v>
      </c>
      <c r="E4">
        <v>41</v>
      </c>
      <c r="F4">
        <v>3</v>
      </c>
      <c r="G4">
        <v>1070</v>
      </c>
      <c r="H4">
        <v>16</v>
      </c>
      <c r="I4">
        <v>120</v>
      </c>
      <c r="J4">
        <v>136</v>
      </c>
      <c r="K4">
        <v>22</v>
      </c>
      <c r="L4">
        <v>105000</v>
      </c>
      <c r="M4">
        <v>3075000</v>
      </c>
      <c r="N4">
        <v>2</v>
      </c>
      <c r="O4">
        <v>8</v>
      </c>
      <c r="P4">
        <v>9.4684939676164692</v>
      </c>
      <c r="Q4">
        <v>0</v>
      </c>
      <c r="R4">
        <v>550000</v>
      </c>
      <c r="S4">
        <v>9.4684939676164692</v>
      </c>
      <c r="T4">
        <v>0</v>
      </c>
      <c r="U4">
        <v>9.4684939676164692</v>
      </c>
      <c r="V4">
        <v>0</v>
      </c>
      <c r="W4">
        <v>27.155481902849399</v>
      </c>
      <c r="X4">
        <f t="shared" si="0"/>
        <v>450000</v>
      </c>
      <c r="Y4">
        <v>100000</v>
      </c>
      <c r="Z4">
        <v>3</v>
      </c>
      <c r="AA4">
        <v>2</v>
      </c>
      <c r="AB4">
        <v>35</v>
      </c>
      <c r="AC4">
        <v>8</v>
      </c>
      <c r="AD4" t="s">
        <v>139</v>
      </c>
      <c r="AE4" t="s">
        <v>1</v>
      </c>
      <c r="AF4">
        <v>13.6108078956604</v>
      </c>
      <c r="AG4">
        <v>5.34980988502502</v>
      </c>
      <c r="AH4">
        <v>18.9606177806854</v>
      </c>
    </row>
    <row r="5" spans="1:34" x14ac:dyDescent="0.2">
      <c r="A5" t="s">
        <v>189</v>
      </c>
      <c r="B5">
        <v>10</v>
      </c>
      <c r="C5">
        <v>10</v>
      </c>
      <c r="D5">
        <v>20</v>
      </c>
      <c r="E5">
        <v>41</v>
      </c>
      <c r="F5">
        <v>3</v>
      </c>
      <c r="G5">
        <v>1092</v>
      </c>
      <c r="H5">
        <v>12</v>
      </c>
      <c r="I5">
        <v>120</v>
      </c>
      <c r="J5">
        <v>132</v>
      </c>
      <c r="K5">
        <v>18</v>
      </c>
      <c r="L5">
        <v>105000</v>
      </c>
      <c r="M5">
        <v>3075000</v>
      </c>
      <c r="N5">
        <v>0</v>
      </c>
      <c r="O5">
        <v>10</v>
      </c>
      <c r="P5">
        <v>8.4207899670721407</v>
      </c>
      <c r="Q5">
        <v>0</v>
      </c>
      <c r="R5">
        <v>200000</v>
      </c>
      <c r="S5">
        <v>8.4207899670721407</v>
      </c>
      <c r="T5">
        <v>0</v>
      </c>
      <c r="U5">
        <v>8.4207899670721407</v>
      </c>
      <c r="V5">
        <v>0</v>
      </c>
      <c r="W5">
        <v>24.512369901216399</v>
      </c>
      <c r="X5">
        <f t="shared" si="0"/>
        <v>150000</v>
      </c>
      <c r="Y5">
        <v>50000</v>
      </c>
      <c r="Z5">
        <v>1</v>
      </c>
      <c r="AA5">
        <v>1</v>
      </c>
      <c r="AB5">
        <v>28</v>
      </c>
      <c r="AC5">
        <v>7</v>
      </c>
      <c r="AD5" t="s">
        <v>140</v>
      </c>
      <c r="AE5" t="s">
        <v>5</v>
      </c>
      <c r="AF5">
        <v>13.4117631912231</v>
      </c>
      <c r="AG5">
        <v>5.1563332080841002</v>
      </c>
      <c r="AH5">
        <v>18.568096399307201</v>
      </c>
    </row>
    <row r="6" spans="1:34" x14ac:dyDescent="0.2">
      <c r="A6" t="s">
        <v>190</v>
      </c>
      <c r="B6">
        <v>10</v>
      </c>
      <c r="C6">
        <v>10</v>
      </c>
      <c r="D6">
        <v>20</v>
      </c>
      <c r="E6">
        <v>41</v>
      </c>
      <c r="F6">
        <v>3</v>
      </c>
      <c r="G6">
        <v>1017</v>
      </c>
      <c r="H6">
        <v>11</v>
      </c>
      <c r="I6">
        <v>120</v>
      </c>
      <c r="J6">
        <v>131</v>
      </c>
      <c r="K6">
        <v>18</v>
      </c>
      <c r="L6">
        <v>105000</v>
      </c>
      <c r="M6">
        <v>3075000</v>
      </c>
      <c r="N6">
        <v>1</v>
      </c>
      <c r="O6">
        <v>9</v>
      </c>
      <c r="P6">
        <v>13.021038220526499</v>
      </c>
      <c r="Q6">
        <v>0</v>
      </c>
      <c r="R6">
        <v>850000</v>
      </c>
      <c r="S6">
        <v>13.021038220526499</v>
      </c>
      <c r="T6">
        <v>0</v>
      </c>
      <c r="U6">
        <v>13.021038220526499</v>
      </c>
      <c r="V6">
        <v>0</v>
      </c>
      <c r="W6">
        <v>35.813114661579696</v>
      </c>
      <c r="X6">
        <f t="shared" si="0"/>
        <v>750000</v>
      </c>
      <c r="Y6">
        <v>100000</v>
      </c>
      <c r="Z6">
        <v>5</v>
      </c>
      <c r="AA6">
        <v>2</v>
      </c>
      <c r="AB6">
        <v>39</v>
      </c>
      <c r="AC6">
        <v>8</v>
      </c>
      <c r="AD6" t="s">
        <v>141</v>
      </c>
      <c r="AE6" t="s">
        <v>3</v>
      </c>
      <c r="AF6">
        <v>12.981688022613501</v>
      </c>
      <c r="AG6">
        <v>4.8102681636810303</v>
      </c>
      <c r="AH6">
        <v>17.791956186294499</v>
      </c>
    </row>
    <row r="7" spans="1:34" x14ac:dyDescent="0.2">
      <c r="A7" t="s">
        <v>191</v>
      </c>
      <c r="B7">
        <v>10</v>
      </c>
      <c r="C7">
        <v>10</v>
      </c>
      <c r="D7">
        <v>20</v>
      </c>
      <c r="E7">
        <v>41</v>
      </c>
      <c r="F7">
        <v>3</v>
      </c>
      <c r="G7">
        <v>1103</v>
      </c>
      <c r="H7">
        <v>13</v>
      </c>
      <c r="I7">
        <v>120</v>
      </c>
      <c r="J7">
        <v>133</v>
      </c>
      <c r="K7">
        <v>22</v>
      </c>
      <c r="L7">
        <v>105000</v>
      </c>
      <c r="M7">
        <v>3075000</v>
      </c>
      <c r="N7">
        <v>0</v>
      </c>
      <c r="O7">
        <v>10</v>
      </c>
      <c r="P7">
        <v>13.0018244171813</v>
      </c>
      <c r="Q7">
        <v>0</v>
      </c>
      <c r="R7">
        <v>400000</v>
      </c>
      <c r="S7">
        <v>13.0018244171813</v>
      </c>
      <c r="T7">
        <v>0</v>
      </c>
      <c r="U7">
        <v>13.0018244171813</v>
      </c>
      <c r="V7">
        <v>0</v>
      </c>
      <c r="W7">
        <v>37.255473251543997</v>
      </c>
      <c r="X7">
        <f t="shared" si="0"/>
        <v>300000</v>
      </c>
      <c r="Y7">
        <v>100000</v>
      </c>
      <c r="Z7">
        <v>2</v>
      </c>
      <c r="AA7">
        <v>2</v>
      </c>
      <c r="AB7">
        <v>38</v>
      </c>
      <c r="AC7">
        <v>9</v>
      </c>
      <c r="AD7" t="s">
        <v>142</v>
      </c>
      <c r="AE7" t="s">
        <v>1</v>
      </c>
      <c r="AF7">
        <v>13.847862005233701</v>
      </c>
      <c r="AG7">
        <v>5.1342201232910103</v>
      </c>
      <c r="AH7">
        <v>18.982082128524699</v>
      </c>
    </row>
    <row r="8" spans="1:34" x14ac:dyDescent="0.2">
      <c r="A8" t="s">
        <v>192</v>
      </c>
      <c r="B8">
        <v>10</v>
      </c>
      <c r="C8">
        <v>10</v>
      </c>
      <c r="D8">
        <v>20</v>
      </c>
      <c r="E8">
        <v>41</v>
      </c>
      <c r="F8">
        <v>3</v>
      </c>
      <c r="G8">
        <v>1027</v>
      </c>
      <c r="H8">
        <v>15</v>
      </c>
      <c r="I8">
        <v>120</v>
      </c>
      <c r="J8">
        <v>135</v>
      </c>
      <c r="K8">
        <v>18</v>
      </c>
      <c r="L8">
        <v>105000</v>
      </c>
      <c r="M8">
        <v>3075000</v>
      </c>
      <c r="N8">
        <v>3</v>
      </c>
      <c r="O8">
        <v>7</v>
      </c>
      <c r="P8">
        <v>10.948531278160701</v>
      </c>
      <c r="Q8">
        <v>0</v>
      </c>
      <c r="R8">
        <v>700000</v>
      </c>
      <c r="S8">
        <v>10.948531278160701</v>
      </c>
      <c r="T8">
        <v>0</v>
      </c>
      <c r="U8">
        <v>10.948531278160701</v>
      </c>
      <c r="V8">
        <v>0</v>
      </c>
      <c r="W8">
        <v>30.595593834482202</v>
      </c>
      <c r="X8">
        <f t="shared" si="0"/>
        <v>600000</v>
      </c>
      <c r="Y8">
        <v>100000</v>
      </c>
      <c r="Z8">
        <v>4</v>
      </c>
      <c r="AA8">
        <v>2</v>
      </c>
      <c r="AB8">
        <v>33</v>
      </c>
      <c r="AC8">
        <v>6</v>
      </c>
      <c r="AD8" t="s">
        <v>143</v>
      </c>
      <c r="AE8" t="s">
        <v>1</v>
      </c>
      <c r="AF8">
        <v>12.7589478492736</v>
      </c>
      <c r="AG8">
        <v>4.99877500534057</v>
      </c>
      <c r="AH8">
        <v>17.757722854614201</v>
      </c>
    </row>
    <row r="9" spans="1:34" x14ac:dyDescent="0.2">
      <c r="A9" t="s">
        <v>193</v>
      </c>
      <c r="B9">
        <v>10</v>
      </c>
      <c r="C9">
        <v>10</v>
      </c>
      <c r="D9">
        <v>20</v>
      </c>
      <c r="E9">
        <v>41</v>
      </c>
      <c r="F9">
        <v>3</v>
      </c>
      <c r="G9">
        <v>1144</v>
      </c>
      <c r="H9">
        <v>14</v>
      </c>
      <c r="I9">
        <v>120</v>
      </c>
      <c r="J9">
        <v>134</v>
      </c>
      <c r="K9">
        <v>18</v>
      </c>
      <c r="L9">
        <v>105000</v>
      </c>
      <c r="M9">
        <v>3075000</v>
      </c>
      <c r="N9">
        <v>1</v>
      </c>
      <c r="O9">
        <v>9</v>
      </c>
      <c r="P9">
        <v>7.0885352245955202</v>
      </c>
      <c r="Q9">
        <v>0</v>
      </c>
      <c r="R9">
        <v>350000</v>
      </c>
      <c r="S9">
        <v>7.0885352245955202</v>
      </c>
      <c r="T9">
        <v>0</v>
      </c>
      <c r="U9">
        <v>7.0885352245955202</v>
      </c>
      <c r="V9">
        <v>0</v>
      </c>
      <c r="W9">
        <v>20.265605673786499</v>
      </c>
      <c r="X9">
        <f t="shared" si="0"/>
        <v>300000</v>
      </c>
      <c r="Y9">
        <v>50000</v>
      </c>
      <c r="Z9">
        <v>2</v>
      </c>
      <c r="AA9">
        <v>1</v>
      </c>
      <c r="AB9">
        <v>28</v>
      </c>
      <c r="AC9">
        <v>6</v>
      </c>
      <c r="AD9" t="s">
        <v>144</v>
      </c>
      <c r="AE9" t="s">
        <v>5</v>
      </c>
      <c r="AF9">
        <v>14.697014093399</v>
      </c>
      <c r="AG9">
        <v>5.4310610294341997</v>
      </c>
      <c r="AH9">
        <v>20.128075122833199</v>
      </c>
    </row>
    <row r="10" spans="1:34" x14ac:dyDescent="0.2">
      <c r="A10" t="s">
        <v>194</v>
      </c>
      <c r="B10">
        <v>10</v>
      </c>
      <c r="C10">
        <v>10</v>
      </c>
      <c r="D10">
        <v>20</v>
      </c>
      <c r="E10">
        <v>41</v>
      </c>
      <c r="F10">
        <v>3</v>
      </c>
      <c r="G10">
        <v>1072</v>
      </c>
      <c r="H10">
        <v>12</v>
      </c>
      <c r="I10">
        <v>120</v>
      </c>
      <c r="J10">
        <v>132</v>
      </c>
      <c r="K10">
        <v>14</v>
      </c>
      <c r="L10">
        <v>105000</v>
      </c>
      <c r="M10">
        <v>3075000</v>
      </c>
      <c r="N10">
        <v>1</v>
      </c>
      <c r="O10">
        <v>9</v>
      </c>
      <c r="P10">
        <v>6.5929822595916203</v>
      </c>
      <c r="Q10">
        <v>0</v>
      </c>
      <c r="R10">
        <v>400000</v>
      </c>
      <c r="S10">
        <v>6.5929822595916203</v>
      </c>
      <c r="T10">
        <v>0</v>
      </c>
      <c r="U10">
        <v>6.5929822595916203</v>
      </c>
      <c r="V10">
        <v>0</v>
      </c>
      <c r="W10">
        <v>19.028946778774799</v>
      </c>
      <c r="X10">
        <f t="shared" si="0"/>
        <v>300000</v>
      </c>
      <c r="Y10">
        <v>100000</v>
      </c>
      <c r="Z10">
        <v>2</v>
      </c>
      <c r="AA10">
        <v>2</v>
      </c>
      <c r="AB10">
        <v>21</v>
      </c>
      <c r="AC10">
        <v>4</v>
      </c>
      <c r="AD10" t="s">
        <v>145</v>
      </c>
      <c r="AE10" t="s">
        <v>3</v>
      </c>
      <c r="AF10">
        <v>13.484207868576</v>
      </c>
      <c r="AG10">
        <v>4.7996022701263401</v>
      </c>
      <c r="AH10">
        <v>18.2838101387023</v>
      </c>
    </row>
    <row r="11" spans="1:34" x14ac:dyDescent="0.2">
      <c r="A11" t="s">
        <v>195</v>
      </c>
      <c r="B11">
        <v>10</v>
      </c>
      <c r="C11">
        <v>10</v>
      </c>
      <c r="D11">
        <v>20</v>
      </c>
      <c r="E11">
        <v>41</v>
      </c>
      <c r="F11">
        <v>3</v>
      </c>
      <c r="G11">
        <v>1118</v>
      </c>
      <c r="H11">
        <v>14</v>
      </c>
      <c r="I11">
        <v>120</v>
      </c>
      <c r="J11">
        <v>134</v>
      </c>
      <c r="K11">
        <v>21</v>
      </c>
      <c r="L11">
        <v>105000</v>
      </c>
      <c r="M11">
        <v>3075000</v>
      </c>
      <c r="N11">
        <v>0</v>
      </c>
      <c r="O11">
        <v>10</v>
      </c>
      <c r="P11">
        <v>9.7350650267323005</v>
      </c>
      <c r="Q11">
        <v>0</v>
      </c>
      <c r="R11">
        <v>400000</v>
      </c>
      <c r="S11">
        <v>9.7350650267323005</v>
      </c>
      <c r="T11">
        <v>0</v>
      </c>
      <c r="U11">
        <v>9.7350650267323005</v>
      </c>
      <c r="V11">
        <v>0</v>
      </c>
      <c r="W11">
        <v>27.455195080196901</v>
      </c>
      <c r="X11">
        <f t="shared" si="0"/>
        <v>300000</v>
      </c>
      <c r="Y11">
        <v>100000</v>
      </c>
      <c r="Z11">
        <v>2</v>
      </c>
      <c r="AA11">
        <v>2</v>
      </c>
      <c r="AB11">
        <v>36</v>
      </c>
      <c r="AC11">
        <v>8</v>
      </c>
      <c r="AD11" t="s">
        <v>145</v>
      </c>
      <c r="AE11" t="s">
        <v>1</v>
      </c>
      <c r="AF11">
        <v>14.0187129974365</v>
      </c>
      <c r="AG11">
        <v>5.1986200809478698</v>
      </c>
      <c r="AH11">
        <v>19.217333078384399</v>
      </c>
    </row>
    <row r="12" spans="1:34" x14ac:dyDescent="0.2">
      <c r="A12" t="s">
        <v>196</v>
      </c>
      <c r="B12">
        <v>20</v>
      </c>
      <c r="C12">
        <v>20</v>
      </c>
      <c r="D12">
        <v>40</v>
      </c>
      <c r="E12">
        <v>41</v>
      </c>
      <c r="F12">
        <v>3</v>
      </c>
      <c r="G12">
        <v>1904</v>
      </c>
      <c r="H12">
        <v>30</v>
      </c>
      <c r="I12">
        <v>120</v>
      </c>
      <c r="J12">
        <v>150</v>
      </c>
      <c r="K12">
        <v>36</v>
      </c>
      <c r="L12">
        <v>105000</v>
      </c>
      <c r="M12">
        <v>3075000</v>
      </c>
      <c r="N12">
        <v>3</v>
      </c>
      <c r="O12">
        <v>17</v>
      </c>
      <c r="P12">
        <v>18.384401701466999</v>
      </c>
      <c r="Q12">
        <v>0</v>
      </c>
      <c r="R12">
        <v>550000</v>
      </c>
      <c r="S12">
        <v>18.384401701466999</v>
      </c>
      <c r="T12">
        <v>0</v>
      </c>
      <c r="U12">
        <v>18.384401701466999</v>
      </c>
      <c r="V12">
        <v>0</v>
      </c>
      <c r="W12">
        <v>26.451602552200502</v>
      </c>
      <c r="X12">
        <f t="shared" si="0"/>
        <v>450000</v>
      </c>
      <c r="Y12">
        <v>100000</v>
      </c>
      <c r="Z12">
        <v>3</v>
      </c>
      <c r="AA12">
        <v>2</v>
      </c>
      <c r="AB12">
        <v>57</v>
      </c>
      <c r="AC12">
        <v>12</v>
      </c>
      <c r="AD12" t="s">
        <v>146</v>
      </c>
      <c r="AE12" t="s">
        <v>1</v>
      </c>
      <c r="AF12">
        <v>57.525588989257798</v>
      </c>
      <c r="AG12">
        <v>19.768794775009098</v>
      </c>
      <c r="AH12">
        <v>77.294383764266897</v>
      </c>
    </row>
    <row r="13" spans="1:34" x14ac:dyDescent="0.2">
      <c r="A13" t="s">
        <v>197</v>
      </c>
      <c r="B13">
        <v>20</v>
      </c>
      <c r="C13">
        <v>20</v>
      </c>
      <c r="D13">
        <v>40</v>
      </c>
      <c r="E13">
        <v>41</v>
      </c>
      <c r="F13">
        <v>3</v>
      </c>
      <c r="G13">
        <v>1759</v>
      </c>
      <c r="H13">
        <v>34</v>
      </c>
      <c r="I13">
        <v>120</v>
      </c>
      <c r="J13">
        <v>154</v>
      </c>
      <c r="K13">
        <v>31</v>
      </c>
      <c r="L13">
        <v>105000</v>
      </c>
      <c r="M13">
        <v>3075000</v>
      </c>
      <c r="N13">
        <v>2</v>
      </c>
      <c r="O13">
        <v>18</v>
      </c>
      <c r="P13">
        <v>18.420736431439899</v>
      </c>
      <c r="Q13">
        <v>0</v>
      </c>
      <c r="R13">
        <v>1300000</v>
      </c>
      <c r="S13">
        <v>18.420736431439899</v>
      </c>
      <c r="T13">
        <v>0</v>
      </c>
      <c r="U13">
        <v>18.420736431439899</v>
      </c>
      <c r="V13">
        <v>0</v>
      </c>
      <c r="W13">
        <v>25.381104647159901</v>
      </c>
      <c r="X13">
        <f t="shared" si="0"/>
        <v>1200000</v>
      </c>
      <c r="Y13">
        <v>100000</v>
      </c>
      <c r="Z13">
        <v>8</v>
      </c>
      <c r="AA13">
        <v>2</v>
      </c>
      <c r="AB13">
        <v>55</v>
      </c>
      <c r="AC13">
        <v>6</v>
      </c>
      <c r="AD13" t="s">
        <v>147</v>
      </c>
      <c r="AE13" t="s">
        <v>1</v>
      </c>
      <c r="AF13">
        <v>53.047181844711297</v>
      </c>
      <c r="AG13">
        <v>19.549874305725002</v>
      </c>
      <c r="AH13">
        <v>72.597056150436401</v>
      </c>
    </row>
    <row r="14" spans="1:34" x14ac:dyDescent="0.2">
      <c r="A14" t="s">
        <v>198</v>
      </c>
      <c r="B14">
        <v>20</v>
      </c>
      <c r="C14">
        <v>20</v>
      </c>
      <c r="D14">
        <v>40</v>
      </c>
      <c r="E14">
        <v>41</v>
      </c>
      <c r="F14">
        <v>3</v>
      </c>
      <c r="G14">
        <v>1709</v>
      </c>
      <c r="H14">
        <v>31</v>
      </c>
      <c r="I14">
        <v>120</v>
      </c>
      <c r="J14">
        <v>151</v>
      </c>
      <c r="K14">
        <v>43</v>
      </c>
      <c r="L14">
        <v>105000</v>
      </c>
      <c r="M14">
        <v>3075000</v>
      </c>
      <c r="N14">
        <v>2</v>
      </c>
      <c r="O14">
        <v>18</v>
      </c>
      <c r="P14">
        <v>32.120677785006897</v>
      </c>
      <c r="Q14">
        <v>0</v>
      </c>
      <c r="R14">
        <v>2950000</v>
      </c>
      <c r="S14">
        <v>32.120677785006897</v>
      </c>
      <c r="T14">
        <v>0</v>
      </c>
      <c r="U14">
        <v>32.120677785006897</v>
      </c>
      <c r="V14">
        <v>0</v>
      </c>
      <c r="W14">
        <v>43.804490757680902</v>
      </c>
      <c r="X14">
        <f t="shared" si="0"/>
        <v>1500000</v>
      </c>
      <c r="Y14">
        <v>100000</v>
      </c>
      <c r="Z14">
        <v>10</v>
      </c>
      <c r="AA14">
        <v>2</v>
      </c>
      <c r="AB14">
        <v>91</v>
      </c>
      <c r="AC14">
        <v>15</v>
      </c>
      <c r="AD14" t="s">
        <v>148</v>
      </c>
      <c r="AE14" t="s">
        <v>1</v>
      </c>
      <c r="AF14">
        <v>50.052428245544398</v>
      </c>
      <c r="AG14">
        <v>64.172782659530597</v>
      </c>
      <c r="AH14">
        <v>114.225210905075</v>
      </c>
    </row>
    <row r="15" spans="1:34" x14ac:dyDescent="0.2">
      <c r="A15" t="s">
        <v>199</v>
      </c>
      <c r="B15">
        <v>20</v>
      </c>
      <c r="C15">
        <v>20</v>
      </c>
      <c r="D15">
        <v>40</v>
      </c>
      <c r="E15">
        <v>41</v>
      </c>
      <c r="F15">
        <v>3</v>
      </c>
      <c r="G15">
        <v>1808</v>
      </c>
      <c r="H15">
        <v>30</v>
      </c>
      <c r="I15">
        <v>120</v>
      </c>
      <c r="J15">
        <v>150</v>
      </c>
      <c r="K15">
        <v>35</v>
      </c>
      <c r="L15">
        <v>105000</v>
      </c>
      <c r="M15">
        <v>3075000</v>
      </c>
      <c r="N15">
        <v>0</v>
      </c>
      <c r="O15">
        <v>20</v>
      </c>
      <c r="P15">
        <v>18.618623334082798</v>
      </c>
      <c r="Q15">
        <v>0</v>
      </c>
      <c r="R15">
        <v>1300000</v>
      </c>
      <c r="S15">
        <v>18.618623334082798</v>
      </c>
      <c r="T15">
        <v>0</v>
      </c>
      <c r="U15">
        <v>18.618623334082798</v>
      </c>
      <c r="V15">
        <v>0</v>
      </c>
      <c r="W15">
        <v>26.052935001124201</v>
      </c>
      <c r="X15">
        <f t="shared" si="0"/>
        <v>1200000</v>
      </c>
      <c r="Y15">
        <v>100000</v>
      </c>
      <c r="Z15">
        <v>8</v>
      </c>
      <c r="AA15">
        <v>2</v>
      </c>
      <c r="AB15">
        <v>58</v>
      </c>
      <c r="AC15">
        <v>8</v>
      </c>
      <c r="AD15" t="s">
        <v>149</v>
      </c>
      <c r="AE15" t="s">
        <v>1</v>
      </c>
      <c r="AF15">
        <v>54.250692844390798</v>
      </c>
      <c r="AG15">
        <v>19.396953105926499</v>
      </c>
      <c r="AH15">
        <v>73.647645950317298</v>
      </c>
    </row>
    <row r="16" spans="1:34" x14ac:dyDescent="0.2">
      <c r="A16" t="s">
        <v>200</v>
      </c>
      <c r="B16">
        <v>20</v>
      </c>
      <c r="C16">
        <v>20</v>
      </c>
      <c r="D16">
        <v>40</v>
      </c>
      <c r="E16">
        <v>41</v>
      </c>
      <c r="F16">
        <v>3</v>
      </c>
      <c r="G16">
        <v>1806</v>
      </c>
      <c r="H16">
        <v>26</v>
      </c>
      <c r="I16">
        <v>120</v>
      </c>
      <c r="J16">
        <v>146</v>
      </c>
      <c r="K16">
        <v>41</v>
      </c>
      <c r="L16">
        <v>105000</v>
      </c>
      <c r="M16">
        <v>3075000</v>
      </c>
      <c r="N16">
        <v>2</v>
      </c>
      <c r="O16">
        <v>18</v>
      </c>
      <c r="P16">
        <v>25.869340638354199</v>
      </c>
      <c r="Q16">
        <v>0</v>
      </c>
      <c r="R16">
        <v>1150000</v>
      </c>
      <c r="S16">
        <v>25.869340638354199</v>
      </c>
      <c r="T16">
        <v>0</v>
      </c>
      <c r="U16">
        <v>25.869340638354199</v>
      </c>
      <c r="V16">
        <v>0</v>
      </c>
      <c r="W16">
        <v>36.429010957531297</v>
      </c>
      <c r="X16">
        <f t="shared" si="0"/>
        <v>1050000</v>
      </c>
      <c r="Y16">
        <v>100000</v>
      </c>
      <c r="Z16">
        <v>7</v>
      </c>
      <c r="AA16">
        <v>2</v>
      </c>
      <c r="AB16">
        <v>77</v>
      </c>
      <c r="AC16">
        <v>17</v>
      </c>
      <c r="AD16" t="s">
        <v>150</v>
      </c>
      <c r="AE16" t="s">
        <v>3</v>
      </c>
      <c r="AF16">
        <v>51.644581079482997</v>
      </c>
      <c r="AG16">
        <v>35.266108989715498</v>
      </c>
      <c r="AH16">
        <v>86.910690069198594</v>
      </c>
    </row>
    <row r="17" spans="1:34" x14ac:dyDescent="0.2">
      <c r="A17" t="s">
        <v>201</v>
      </c>
      <c r="B17">
        <v>20</v>
      </c>
      <c r="C17">
        <v>20</v>
      </c>
      <c r="D17">
        <v>40</v>
      </c>
      <c r="E17">
        <v>41</v>
      </c>
      <c r="F17">
        <v>3</v>
      </c>
      <c r="G17">
        <v>1796</v>
      </c>
      <c r="H17">
        <v>32</v>
      </c>
      <c r="I17">
        <v>120</v>
      </c>
      <c r="J17">
        <v>152</v>
      </c>
      <c r="K17">
        <v>40</v>
      </c>
      <c r="L17">
        <v>105000</v>
      </c>
      <c r="M17">
        <v>3075000</v>
      </c>
      <c r="N17">
        <v>0</v>
      </c>
      <c r="O17">
        <v>20</v>
      </c>
      <c r="P17">
        <v>25.3895790155564</v>
      </c>
      <c r="Q17">
        <v>0</v>
      </c>
      <c r="R17">
        <v>1300000</v>
      </c>
      <c r="S17">
        <v>25.3895790155564</v>
      </c>
      <c r="T17">
        <v>0</v>
      </c>
      <c r="U17">
        <v>25.3895790155564</v>
      </c>
      <c r="V17">
        <v>0</v>
      </c>
      <c r="W17">
        <v>35.444753627141701</v>
      </c>
      <c r="X17">
        <f t="shared" si="0"/>
        <v>1200000</v>
      </c>
      <c r="Y17">
        <v>100000</v>
      </c>
      <c r="Z17">
        <v>8</v>
      </c>
      <c r="AA17">
        <v>2</v>
      </c>
      <c r="AB17">
        <v>74</v>
      </c>
      <c r="AC17">
        <v>14</v>
      </c>
      <c r="AD17" t="s">
        <v>151</v>
      </c>
      <c r="AE17" t="s">
        <v>1</v>
      </c>
      <c r="AF17">
        <v>54.105852842330897</v>
      </c>
      <c r="AG17">
        <v>50.085645198822</v>
      </c>
      <c r="AH17">
        <v>104.191498041152</v>
      </c>
    </row>
    <row r="18" spans="1:34" x14ac:dyDescent="0.2">
      <c r="A18" t="s">
        <v>202</v>
      </c>
      <c r="B18">
        <v>20</v>
      </c>
      <c r="C18">
        <v>20</v>
      </c>
      <c r="D18">
        <v>40</v>
      </c>
      <c r="E18">
        <v>41</v>
      </c>
      <c r="F18">
        <v>3</v>
      </c>
      <c r="G18">
        <v>1947</v>
      </c>
      <c r="H18">
        <v>29</v>
      </c>
      <c r="I18">
        <v>120</v>
      </c>
      <c r="J18">
        <v>149</v>
      </c>
      <c r="K18">
        <v>40</v>
      </c>
      <c r="L18">
        <v>105000</v>
      </c>
      <c r="M18">
        <v>3075000</v>
      </c>
      <c r="N18">
        <v>5</v>
      </c>
      <c r="O18">
        <v>15</v>
      </c>
      <c r="P18">
        <v>20.2186534501881</v>
      </c>
      <c r="Q18" s="1">
        <v>8.8300968144808698E-5</v>
      </c>
      <c r="R18">
        <v>2800000</v>
      </c>
      <c r="S18">
        <v>20.220438934522399</v>
      </c>
      <c r="T18">
        <v>0</v>
      </c>
      <c r="U18">
        <v>20.220438934522399</v>
      </c>
      <c r="V18">
        <v>0</v>
      </c>
      <c r="W18">
        <v>28.4410435055905</v>
      </c>
      <c r="X18">
        <f t="shared" si="0"/>
        <v>900000</v>
      </c>
      <c r="Y18">
        <v>100000</v>
      </c>
      <c r="Z18">
        <v>6</v>
      </c>
      <c r="AA18">
        <v>2</v>
      </c>
      <c r="AB18">
        <v>68</v>
      </c>
      <c r="AC18">
        <v>14</v>
      </c>
      <c r="AD18" t="s">
        <v>152</v>
      </c>
      <c r="AE18" t="s">
        <v>1</v>
      </c>
      <c r="AF18">
        <v>57.744593143463099</v>
      </c>
      <c r="AG18">
        <v>40.1415917873382</v>
      </c>
      <c r="AH18">
        <v>97.886184930801306</v>
      </c>
    </row>
    <row r="19" spans="1:34" x14ac:dyDescent="0.2">
      <c r="A19" t="s">
        <v>203</v>
      </c>
      <c r="B19">
        <v>20</v>
      </c>
      <c r="C19">
        <v>20</v>
      </c>
      <c r="D19">
        <v>40</v>
      </c>
      <c r="E19">
        <v>41</v>
      </c>
      <c r="F19">
        <v>3</v>
      </c>
      <c r="G19">
        <v>1748</v>
      </c>
      <c r="H19">
        <v>25</v>
      </c>
      <c r="I19">
        <v>120</v>
      </c>
      <c r="J19">
        <v>145</v>
      </c>
      <c r="K19">
        <v>38</v>
      </c>
      <c r="L19">
        <v>105000</v>
      </c>
      <c r="M19">
        <v>3075000</v>
      </c>
      <c r="N19">
        <v>2</v>
      </c>
      <c r="O19">
        <v>18</v>
      </c>
      <c r="P19">
        <v>29.149228041303001</v>
      </c>
      <c r="Q19">
        <v>0</v>
      </c>
      <c r="R19">
        <v>1150000</v>
      </c>
      <c r="S19">
        <v>29.149228041303001</v>
      </c>
      <c r="T19">
        <v>0</v>
      </c>
      <c r="U19">
        <v>29.149228041303001</v>
      </c>
      <c r="V19">
        <v>0</v>
      </c>
      <c r="W19">
        <v>40.848842061954599</v>
      </c>
      <c r="X19">
        <f t="shared" si="0"/>
        <v>1050000</v>
      </c>
      <c r="Y19">
        <v>100000</v>
      </c>
      <c r="Z19">
        <v>7</v>
      </c>
      <c r="AA19">
        <v>2</v>
      </c>
      <c r="AB19">
        <v>74</v>
      </c>
      <c r="AC19">
        <v>13</v>
      </c>
      <c r="AD19" t="s">
        <v>153</v>
      </c>
      <c r="AE19" t="s">
        <v>12</v>
      </c>
      <c r="AF19">
        <v>50.5706691741943</v>
      </c>
      <c r="AG19">
        <v>54.267643928527797</v>
      </c>
      <c r="AH19">
        <v>104.838313102722</v>
      </c>
    </row>
    <row r="20" spans="1:34" x14ac:dyDescent="0.2">
      <c r="A20" t="s">
        <v>204</v>
      </c>
      <c r="B20">
        <v>20</v>
      </c>
      <c r="C20">
        <v>20</v>
      </c>
      <c r="D20">
        <v>40</v>
      </c>
      <c r="E20">
        <v>41</v>
      </c>
      <c r="F20">
        <v>3</v>
      </c>
      <c r="G20">
        <v>1778</v>
      </c>
      <c r="H20">
        <v>29</v>
      </c>
      <c r="I20">
        <v>120</v>
      </c>
      <c r="J20">
        <v>149</v>
      </c>
      <c r="K20">
        <v>37</v>
      </c>
      <c r="L20">
        <v>105000</v>
      </c>
      <c r="M20">
        <v>3075000</v>
      </c>
      <c r="N20">
        <v>5</v>
      </c>
      <c r="O20">
        <v>15</v>
      </c>
      <c r="P20">
        <v>24.136609094884399</v>
      </c>
      <c r="Q20">
        <v>0</v>
      </c>
      <c r="R20">
        <v>2500000</v>
      </c>
      <c r="S20">
        <v>24.136609094884399</v>
      </c>
      <c r="T20">
        <v>0</v>
      </c>
      <c r="U20">
        <v>24.136609094884399</v>
      </c>
      <c r="V20">
        <v>0</v>
      </c>
      <c r="W20">
        <v>33.704913642326702</v>
      </c>
      <c r="X20">
        <f t="shared" si="0"/>
        <v>900000</v>
      </c>
      <c r="Y20">
        <v>100000</v>
      </c>
      <c r="Z20">
        <v>6</v>
      </c>
      <c r="AA20">
        <v>2</v>
      </c>
      <c r="AB20">
        <v>69</v>
      </c>
      <c r="AC20">
        <v>12</v>
      </c>
      <c r="AD20" t="s">
        <v>154</v>
      </c>
      <c r="AE20" t="s">
        <v>3</v>
      </c>
      <c r="AF20">
        <v>51.789721250534001</v>
      </c>
      <c r="AG20">
        <v>46.503871917724602</v>
      </c>
      <c r="AH20">
        <v>98.293593168258596</v>
      </c>
    </row>
    <row r="21" spans="1:34" x14ac:dyDescent="0.2">
      <c r="A21" t="s">
        <v>205</v>
      </c>
      <c r="B21">
        <v>20</v>
      </c>
      <c r="C21">
        <v>20</v>
      </c>
      <c r="D21">
        <v>40</v>
      </c>
      <c r="E21">
        <v>41</v>
      </c>
      <c r="F21">
        <v>3</v>
      </c>
      <c r="G21">
        <v>1730</v>
      </c>
      <c r="H21">
        <v>35</v>
      </c>
      <c r="I21">
        <v>120</v>
      </c>
      <c r="J21">
        <v>155</v>
      </c>
      <c r="K21">
        <v>34</v>
      </c>
      <c r="L21">
        <v>105000</v>
      </c>
      <c r="M21">
        <v>3075000</v>
      </c>
      <c r="N21">
        <v>0</v>
      </c>
      <c r="O21">
        <v>20</v>
      </c>
      <c r="P21">
        <v>23.385736204396999</v>
      </c>
      <c r="Q21">
        <v>0</v>
      </c>
      <c r="R21">
        <v>1300000</v>
      </c>
      <c r="S21">
        <v>23.385736204396999</v>
      </c>
      <c r="T21">
        <v>0</v>
      </c>
      <c r="U21">
        <v>23.385736204396999</v>
      </c>
      <c r="V21">
        <v>0</v>
      </c>
      <c r="W21">
        <v>32.203604306595501</v>
      </c>
      <c r="X21">
        <f t="shared" si="0"/>
        <v>1200000</v>
      </c>
      <c r="Y21">
        <v>100000</v>
      </c>
      <c r="Z21">
        <v>8</v>
      </c>
      <c r="AA21">
        <v>2</v>
      </c>
      <c r="AB21">
        <v>64</v>
      </c>
      <c r="AC21">
        <v>7</v>
      </c>
      <c r="AD21" t="s">
        <v>155</v>
      </c>
      <c r="AE21" t="s">
        <v>1</v>
      </c>
      <c r="AF21">
        <v>53.025630950927699</v>
      </c>
      <c r="AG21">
        <v>19.593659162521298</v>
      </c>
      <c r="AH21">
        <v>72.619290113449097</v>
      </c>
    </row>
    <row r="22" spans="1:34" x14ac:dyDescent="0.2">
      <c r="A22" t="s">
        <v>206</v>
      </c>
      <c r="B22">
        <v>30</v>
      </c>
      <c r="C22">
        <v>30</v>
      </c>
      <c r="D22">
        <v>60</v>
      </c>
      <c r="E22">
        <v>41</v>
      </c>
      <c r="F22">
        <v>3</v>
      </c>
      <c r="G22">
        <v>3015</v>
      </c>
      <c r="H22">
        <v>43</v>
      </c>
      <c r="I22">
        <v>120</v>
      </c>
      <c r="J22">
        <v>163</v>
      </c>
      <c r="K22">
        <v>58</v>
      </c>
      <c r="L22">
        <v>105000</v>
      </c>
      <c r="M22">
        <v>3075000</v>
      </c>
      <c r="N22">
        <v>7</v>
      </c>
      <c r="O22">
        <v>23</v>
      </c>
      <c r="P22">
        <v>34.0050005331249</v>
      </c>
      <c r="Q22">
        <v>0</v>
      </c>
      <c r="R22">
        <v>1450000</v>
      </c>
      <c r="S22">
        <v>34.0050005331249</v>
      </c>
      <c r="T22">
        <v>0</v>
      </c>
      <c r="U22">
        <v>34.0050005331249</v>
      </c>
      <c r="V22">
        <v>0</v>
      </c>
      <c r="W22">
        <v>31.9216671997916</v>
      </c>
      <c r="X22">
        <f t="shared" si="0"/>
        <v>1350000</v>
      </c>
      <c r="Y22">
        <v>100000</v>
      </c>
      <c r="Z22">
        <v>9</v>
      </c>
      <c r="AA22">
        <v>2</v>
      </c>
      <c r="AB22">
        <v>104</v>
      </c>
      <c r="AC22">
        <v>21</v>
      </c>
      <c r="AD22" t="s">
        <v>156</v>
      </c>
      <c r="AE22" t="s">
        <v>12</v>
      </c>
      <c r="AF22">
        <v>166.10997486114499</v>
      </c>
      <c r="AG22">
        <v>121.645008802413</v>
      </c>
      <c r="AH22">
        <v>287.75498366355799</v>
      </c>
    </row>
    <row r="23" spans="1:34" x14ac:dyDescent="0.2">
      <c r="A23" t="s">
        <v>207</v>
      </c>
      <c r="B23">
        <v>30</v>
      </c>
      <c r="C23">
        <v>30</v>
      </c>
      <c r="D23">
        <v>60</v>
      </c>
      <c r="E23">
        <v>41</v>
      </c>
      <c r="F23">
        <v>3</v>
      </c>
      <c r="G23">
        <v>2604</v>
      </c>
      <c r="H23">
        <v>42</v>
      </c>
      <c r="I23">
        <v>120</v>
      </c>
      <c r="J23">
        <v>162</v>
      </c>
      <c r="K23">
        <v>64</v>
      </c>
      <c r="L23">
        <v>105000</v>
      </c>
      <c r="M23">
        <v>3075000</v>
      </c>
      <c r="N23">
        <v>3</v>
      </c>
      <c r="O23">
        <v>27</v>
      </c>
      <c r="P23">
        <v>43.338289367497701</v>
      </c>
      <c r="Q23">
        <v>0</v>
      </c>
      <c r="R23">
        <v>1900000</v>
      </c>
      <c r="S23">
        <v>43.338289367497701</v>
      </c>
      <c r="T23">
        <v>0</v>
      </c>
      <c r="U23">
        <v>43.338289367497701</v>
      </c>
      <c r="V23">
        <v>0</v>
      </c>
      <c r="W23">
        <v>40.504447394221202</v>
      </c>
      <c r="X23">
        <f t="shared" si="0"/>
        <v>1500000</v>
      </c>
      <c r="Y23">
        <v>100000</v>
      </c>
      <c r="Z23">
        <v>10</v>
      </c>
      <c r="AA23">
        <v>2</v>
      </c>
      <c r="AB23">
        <v>124</v>
      </c>
      <c r="AC23">
        <v>27</v>
      </c>
      <c r="AD23" t="s">
        <v>157</v>
      </c>
      <c r="AE23" t="s">
        <v>1</v>
      </c>
      <c r="AF23">
        <v>128.314247846603</v>
      </c>
      <c r="AG23">
        <v>78.065028190612793</v>
      </c>
      <c r="AH23">
        <v>206.37927603721599</v>
      </c>
    </row>
    <row r="24" spans="1:34" x14ac:dyDescent="0.2">
      <c r="A24" t="s">
        <v>208</v>
      </c>
      <c r="B24">
        <v>30</v>
      </c>
      <c r="C24">
        <v>30</v>
      </c>
      <c r="D24">
        <v>60</v>
      </c>
      <c r="E24">
        <v>41</v>
      </c>
      <c r="F24">
        <v>3</v>
      </c>
      <c r="G24">
        <v>2763</v>
      </c>
      <c r="H24">
        <v>52</v>
      </c>
      <c r="I24">
        <v>120</v>
      </c>
      <c r="J24">
        <v>172</v>
      </c>
      <c r="K24">
        <v>47</v>
      </c>
      <c r="L24">
        <v>105000</v>
      </c>
      <c r="M24">
        <v>3075000</v>
      </c>
      <c r="N24">
        <v>9</v>
      </c>
      <c r="O24">
        <v>21</v>
      </c>
      <c r="P24">
        <v>25.536833953888902</v>
      </c>
      <c r="Q24">
        <v>0</v>
      </c>
      <c r="R24">
        <v>1150001.24584717</v>
      </c>
      <c r="S24">
        <v>25.536833953888902</v>
      </c>
      <c r="T24">
        <v>0</v>
      </c>
      <c r="U24">
        <v>25.536833953888902</v>
      </c>
      <c r="V24">
        <v>0</v>
      </c>
      <c r="W24">
        <v>23.286833953888902</v>
      </c>
      <c r="X24">
        <f t="shared" si="0"/>
        <v>1500000</v>
      </c>
      <c r="Y24">
        <v>100000</v>
      </c>
      <c r="Z24">
        <v>10</v>
      </c>
      <c r="AA24">
        <v>2</v>
      </c>
      <c r="AB24">
        <v>79</v>
      </c>
      <c r="AC24">
        <v>5</v>
      </c>
      <c r="AD24" t="s">
        <v>158</v>
      </c>
      <c r="AE24" t="s">
        <v>1</v>
      </c>
      <c r="AF24">
        <v>144.72955298423699</v>
      </c>
      <c r="AG24">
        <v>36.863820075988698</v>
      </c>
      <c r="AH24">
        <v>181.59337306022601</v>
      </c>
    </row>
    <row r="25" spans="1:34" x14ac:dyDescent="0.2">
      <c r="A25" t="s">
        <v>209</v>
      </c>
      <c r="B25">
        <v>30</v>
      </c>
      <c r="C25">
        <v>30</v>
      </c>
      <c r="D25">
        <v>60</v>
      </c>
      <c r="E25">
        <v>41</v>
      </c>
      <c r="F25">
        <v>3</v>
      </c>
      <c r="G25">
        <v>2591</v>
      </c>
      <c r="H25">
        <v>51</v>
      </c>
      <c r="I25">
        <v>120</v>
      </c>
      <c r="J25">
        <v>171</v>
      </c>
      <c r="K25">
        <v>59</v>
      </c>
      <c r="L25">
        <v>105000</v>
      </c>
      <c r="M25">
        <v>3075000</v>
      </c>
      <c r="N25">
        <v>2</v>
      </c>
      <c r="O25">
        <v>28</v>
      </c>
      <c r="P25">
        <v>35.741945260230501</v>
      </c>
      <c r="Q25">
        <v>0</v>
      </c>
      <c r="R25">
        <v>1900000</v>
      </c>
      <c r="S25">
        <v>35.741945260230501</v>
      </c>
      <c r="T25">
        <v>0</v>
      </c>
      <c r="U25">
        <v>35.741945260230501</v>
      </c>
      <c r="V25">
        <v>0</v>
      </c>
      <c r="W25">
        <v>33.325278593563802</v>
      </c>
      <c r="X25">
        <f t="shared" si="0"/>
        <v>1800000</v>
      </c>
      <c r="Y25">
        <v>100000</v>
      </c>
      <c r="Z25">
        <v>12</v>
      </c>
      <c r="AA25">
        <v>2</v>
      </c>
      <c r="AB25">
        <v>100</v>
      </c>
      <c r="AC25">
        <v>12</v>
      </c>
      <c r="AD25" t="s">
        <v>159</v>
      </c>
      <c r="AE25" t="s">
        <v>3</v>
      </c>
      <c r="AF25">
        <v>134.670110940933</v>
      </c>
      <c r="AG25">
        <v>67.231224060058594</v>
      </c>
      <c r="AH25">
        <v>201.901335000991</v>
      </c>
    </row>
    <row r="26" spans="1:34" x14ac:dyDescent="0.2">
      <c r="A26" t="s">
        <v>210</v>
      </c>
      <c r="B26">
        <v>30</v>
      </c>
      <c r="C26">
        <v>30</v>
      </c>
      <c r="D26">
        <v>60</v>
      </c>
      <c r="E26">
        <v>41</v>
      </c>
      <c r="F26">
        <v>3</v>
      </c>
      <c r="G26">
        <v>2905</v>
      </c>
      <c r="H26">
        <v>40</v>
      </c>
      <c r="I26">
        <v>120</v>
      </c>
      <c r="J26">
        <v>160</v>
      </c>
      <c r="K26">
        <v>59</v>
      </c>
      <c r="L26">
        <v>105000</v>
      </c>
      <c r="M26">
        <v>3075000</v>
      </c>
      <c r="N26">
        <v>3</v>
      </c>
      <c r="O26">
        <v>27</v>
      </c>
      <c r="P26">
        <v>36.420871516475799</v>
      </c>
      <c r="Q26">
        <v>0</v>
      </c>
      <c r="R26">
        <v>1450000.8928571399</v>
      </c>
      <c r="S26">
        <v>36.420871516475799</v>
      </c>
      <c r="T26">
        <v>0</v>
      </c>
      <c r="U26">
        <v>36.420871516475799</v>
      </c>
      <c r="V26">
        <v>0</v>
      </c>
      <c r="W26">
        <v>33.670871516475799</v>
      </c>
      <c r="X26">
        <f t="shared" si="0"/>
        <v>1650000</v>
      </c>
      <c r="Y26">
        <v>100000</v>
      </c>
      <c r="Z26">
        <v>11</v>
      </c>
      <c r="AA26">
        <v>2</v>
      </c>
      <c r="AB26">
        <v>113</v>
      </c>
      <c r="AC26">
        <v>21</v>
      </c>
      <c r="AD26" t="s">
        <v>160</v>
      </c>
      <c r="AE26" t="s">
        <v>1</v>
      </c>
      <c r="AF26">
        <v>140.50807905197101</v>
      </c>
      <c r="AG26">
        <v>45.387966871261597</v>
      </c>
      <c r="AH26">
        <v>185.896045923233</v>
      </c>
    </row>
    <row r="27" spans="1:34" x14ac:dyDescent="0.2">
      <c r="A27" t="s">
        <v>211</v>
      </c>
      <c r="B27">
        <v>30</v>
      </c>
      <c r="C27">
        <v>30</v>
      </c>
      <c r="D27">
        <v>60</v>
      </c>
      <c r="E27">
        <v>41</v>
      </c>
      <c r="F27">
        <v>3</v>
      </c>
      <c r="G27">
        <v>3028</v>
      </c>
      <c r="H27">
        <v>33</v>
      </c>
      <c r="I27">
        <v>120</v>
      </c>
      <c r="J27">
        <v>153</v>
      </c>
      <c r="K27">
        <v>60</v>
      </c>
      <c r="L27">
        <v>105000</v>
      </c>
      <c r="M27">
        <v>3075000</v>
      </c>
      <c r="N27">
        <v>2</v>
      </c>
      <c r="O27">
        <v>28</v>
      </c>
      <c r="P27">
        <v>35.0345546692919</v>
      </c>
      <c r="Q27">
        <v>0</v>
      </c>
      <c r="R27">
        <v>1150000</v>
      </c>
      <c r="S27">
        <v>35.0345546692919</v>
      </c>
      <c r="T27">
        <v>0</v>
      </c>
      <c r="U27">
        <v>35.0345546692919</v>
      </c>
      <c r="V27">
        <v>0</v>
      </c>
      <c r="W27">
        <v>33.191478071829899</v>
      </c>
      <c r="X27">
        <f t="shared" si="0"/>
        <v>1050000</v>
      </c>
      <c r="Y27">
        <v>100000</v>
      </c>
      <c r="Z27">
        <v>7</v>
      </c>
      <c r="AA27">
        <v>2</v>
      </c>
      <c r="AB27">
        <v>109</v>
      </c>
      <c r="AC27">
        <v>28</v>
      </c>
      <c r="AD27" t="s">
        <v>161</v>
      </c>
      <c r="AE27" t="s">
        <v>1</v>
      </c>
      <c r="AF27">
        <v>142.90103077888401</v>
      </c>
      <c r="AG27">
        <v>111.915778160095</v>
      </c>
      <c r="AH27">
        <v>254.81680893897999</v>
      </c>
    </row>
    <row r="28" spans="1:34" x14ac:dyDescent="0.2">
      <c r="A28" t="s">
        <v>212</v>
      </c>
      <c r="B28">
        <v>30</v>
      </c>
      <c r="C28">
        <v>30</v>
      </c>
      <c r="D28">
        <v>60</v>
      </c>
      <c r="E28">
        <v>41</v>
      </c>
      <c r="F28">
        <v>3</v>
      </c>
      <c r="G28">
        <v>2652</v>
      </c>
      <c r="H28">
        <v>52</v>
      </c>
      <c r="I28">
        <v>120</v>
      </c>
      <c r="J28">
        <v>172</v>
      </c>
      <c r="K28">
        <v>58</v>
      </c>
      <c r="L28">
        <v>105000</v>
      </c>
      <c r="M28">
        <v>3075000</v>
      </c>
      <c r="N28">
        <v>6</v>
      </c>
      <c r="O28">
        <v>24</v>
      </c>
      <c r="P28">
        <v>37.114686834597698</v>
      </c>
      <c r="Q28">
        <v>0</v>
      </c>
      <c r="R28">
        <v>1600000</v>
      </c>
      <c r="S28">
        <v>37.114686834597698</v>
      </c>
      <c r="T28">
        <v>0</v>
      </c>
      <c r="U28">
        <v>37.114686834597698</v>
      </c>
      <c r="V28">
        <v>0</v>
      </c>
      <c r="W28">
        <v>34.448020167931098</v>
      </c>
      <c r="X28">
        <f t="shared" si="0"/>
        <v>1500000</v>
      </c>
      <c r="Y28">
        <v>100000</v>
      </c>
      <c r="Z28">
        <v>10</v>
      </c>
      <c r="AA28">
        <v>2</v>
      </c>
      <c r="AB28">
        <v>102</v>
      </c>
      <c r="AC28">
        <v>12</v>
      </c>
      <c r="AD28" t="s">
        <v>162</v>
      </c>
      <c r="AE28" t="s">
        <v>3</v>
      </c>
      <c r="AF28">
        <v>138.64402890205301</v>
      </c>
      <c r="AG28">
        <v>68.590525150299001</v>
      </c>
      <c r="AH28">
        <v>207.234554052352</v>
      </c>
    </row>
    <row r="29" spans="1:34" x14ac:dyDescent="0.2">
      <c r="A29" t="s">
        <v>213</v>
      </c>
      <c r="B29">
        <v>30</v>
      </c>
      <c r="C29">
        <v>30</v>
      </c>
      <c r="D29">
        <v>60</v>
      </c>
      <c r="E29">
        <v>41</v>
      </c>
      <c r="F29">
        <v>3</v>
      </c>
      <c r="G29">
        <v>2845</v>
      </c>
      <c r="H29">
        <v>47</v>
      </c>
      <c r="I29">
        <v>120</v>
      </c>
      <c r="J29">
        <v>167</v>
      </c>
      <c r="K29">
        <v>59</v>
      </c>
      <c r="L29">
        <v>105000</v>
      </c>
      <c r="M29">
        <v>3075000</v>
      </c>
      <c r="N29">
        <v>3</v>
      </c>
      <c r="O29">
        <v>27</v>
      </c>
      <c r="P29">
        <v>35.652133408131697</v>
      </c>
      <c r="Q29">
        <v>0</v>
      </c>
      <c r="R29">
        <v>1600000</v>
      </c>
      <c r="S29">
        <v>35.652133408131697</v>
      </c>
      <c r="T29">
        <v>0</v>
      </c>
      <c r="U29">
        <v>35.652133408131697</v>
      </c>
      <c r="V29">
        <v>0</v>
      </c>
      <c r="W29">
        <v>33.049313546541001</v>
      </c>
      <c r="X29">
        <f t="shared" si="0"/>
        <v>1500000</v>
      </c>
      <c r="Y29">
        <v>100000</v>
      </c>
      <c r="Z29">
        <v>10</v>
      </c>
      <c r="AA29">
        <v>2</v>
      </c>
      <c r="AB29">
        <v>103</v>
      </c>
      <c r="AC29">
        <v>15</v>
      </c>
      <c r="AD29" t="s">
        <v>163</v>
      </c>
      <c r="AE29" t="s">
        <v>1</v>
      </c>
      <c r="AF29">
        <v>146.085395097732</v>
      </c>
      <c r="AG29">
        <v>88.823225975036607</v>
      </c>
      <c r="AH29">
        <v>234.90862107276899</v>
      </c>
    </row>
    <row r="30" spans="1:34" x14ac:dyDescent="0.2">
      <c r="A30" t="s">
        <v>214</v>
      </c>
      <c r="B30">
        <v>30</v>
      </c>
      <c r="C30">
        <v>30</v>
      </c>
      <c r="D30">
        <v>60</v>
      </c>
      <c r="E30">
        <v>41</v>
      </c>
      <c r="F30">
        <v>3</v>
      </c>
      <c r="G30">
        <v>2698</v>
      </c>
      <c r="H30">
        <v>42</v>
      </c>
      <c r="I30">
        <v>120</v>
      </c>
      <c r="J30">
        <v>162</v>
      </c>
      <c r="K30">
        <v>61</v>
      </c>
      <c r="L30">
        <v>105000</v>
      </c>
      <c r="M30">
        <v>3075000</v>
      </c>
      <c r="N30">
        <v>3</v>
      </c>
      <c r="O30">
        <v>27</v>
      </c>
      <c r="P30">
        <v>38.346424301624097</v>
      </c>
      <c r="Q30">
        <v>0</v>
      </c>
      <c r="R30">
        <v>1600000</v>
      </c>
      <c r="S30">
        <v>38.346424301624097</v>
      </c>
      <c r="T30">
        <v>0</v>
      </c>
      <c r="U30">
        <v>38.346424301624097</v>
      </c>
      <c r="V30">
        <v>0</v>
      </c>
      <c r="W30">
        <v>35.846424301624097</v>
      </c>
      <c r="X30">
        <f t="shared" si="0"/>
        <v>1500000</v>
      </c>
      <c r="Y30">
        <v>100000</v>
      </c>
      <c r="Z30">
        <v>10</v>
      </c>
      <c r="AA30">
        <v>2</v>
      </c>
      <c r="AB30">
        <v>115</v>
      </c>
      <c r="AC30">
        <v>24</v>
      </c>
      <c r="AD30" t="s">
        <v>164</v>
      </c>
      <c r="AE30" t="s">
        <v>3</v>
      </c>
      <c r="AF30">
        <v>141.290609836578</v>
      </c>
      <c r="AG30">
        <v>95.346505880355807</v>
      </c>
      <c r="AH30">
        <v>236.63711571693401</v>
      </c>
    </row>
    <row r="31" spans="1:34" x14ac:dyDescent="0.2">
      <c r="A31" t="s">
        <v>215</v>
      </c>
      <c r="B31">
        <v>30</v>
      </c>
      <c r="C31">
        <v>30</v>
      </c>
      <c r="D31">
        <v>60</v>
      </c>
      <c r="E31">
        <v>41</v>
      </c>
      <c r="F31">
        <v>3</v>
      </c>
      <c r="G31">
        <v>2959</v>
      </c>
      <c r="H31">
        <v>40</v>
      </c>
      <c r="I31">
        <v>120</v>
      </c>
      <c r="J31">
        <v>160</v>
      </c>
      <c r="K31">
        <v>56</v>
      </c>
      <c r="L31">
        <v>105000</v>
      </c>
      <c r="M31">
        <v>3075000</v>
      </c>
      <c r="N31">
        <v>3</v>
      </c>
      <c r="O31">
        <v>27</v>
      </c>
      <c r="P31">
        <v>34.178202019030302</v>
      </c>
      <c r="Q31">
        <v>0</v>
      </c>
      <c r="R31">
        <v>1150000</v>
      </c>
      <c r="S31">
        <v>34.178202019030302</v>
      </c>
      <c r="T31">
        <v>0</v>
      </c>
      <c r="U31">
        <v>34.178202019030302</v>
      </c>
      <c r="V31">
        <v>0</v>
      </c>
      <c r="W31">
        <v>31.6684587549017</v>
      </c>
      <c r="X31">
        <f t="shared" si="0"/>
        <v>1050000</v>
      </c>
      <c r="Y31">
        <v>100000</v>
      </c>
      <c r="Z31">
        <v>7</v>
      </c>
      <c r="AA31">
        <v>2</v>
      </c>
      <c r="AB31">
        <v>106</v>
      </c>
      <c r="AC31">
        <v>21</v>
      </c>
      <c r="AD31" t="s">
        <v>165</v>
      </c>
      <c r="AE31" t="s">
        <v>1</v>
      </c>
      <c r="AF31">
        <v>149.95642900466899</v>
      </c>
      <c r="AG31">
        <v>143.743196010589</v>
      </c>
      <c r="AH31">
        <v>293.69962501525799</v>
      </c>
    </row>
    <row r="32" spans="1:34" x14ac:dyDescent="0.2">
      <c r="A32" t="s">
        <v>216</v>
      </c>
      <c r="B32">
        <v>40</v>
      </c>
      <c r="C32">
        <v>40</v>
      </c>
      <c r="D32">
        <v>80</v>
      </c>
      <c r="E32">
        <v>41</v>
      </c>
      <c r="F32">
        <v>3</v>
      </c>
      <c r="G32">
        <v>3801</v>
      </c>
      <c r="H32">
        <v>49</v>
      </c>
      <c r="I32">
        <v>120</v>
      </c>
      <c r="J32">
        <v>169</v>
      </c>
      <c r="K32">
        <v>81</v>
      </c>
      <c r="L32">
        <v>105000</v>
      </c>
      <c r="M32">
        <v>3075000</v>
      </c>
      <c r="N32">
        <v>4</v>
      </c>
      <c r="O32">
        <v>36</v>
      </c>
      <c r="P32">
        <v>55.166020500997099</v>
      </c>
      <c r="Q32" s="1">
        <v>1.9248755621136998E-6</v>
      </c>
      <c r="R32">
        <v>2500000</v>
      </c>
      <c r="S32">
        <v>55.166126688926198</v>
      </c>
      <c r="T32">
        <v>0</v>
      </c>
      <c r="U32">
        <v>55.166126688926198</v>
      </c>
      <c r="V32">
        <v>0</v>
      </c>
      <c r="W32">
        <v>38.562095016694698</v>
      </c>
      <c r="X32">
        <f t="shared" si="0"/>
        <v>1650000</v>
      </c>
      <c r="Y32">
        <v>100000</v>
      </c>
      <c r="Z32">
        <v>11</v>
      </c>
      <c r="AA32">
        <v>2</v>
      </c>
      <c r="AB32">
        <v>162</v>
      </c>
      <c r="AC32">
        <v>36</v>
      </c>
      <c r="AD32" t="s">
        <v>166</v>
      </c>
      <c r="AE32" t="s">
        <v>3</v>
      </c>
      <c r="AF32">
        <v>378.34629487991299</v>
      </c>
      <c r="AG32">
        <v>142.81647491455001</v>
      </c>
      <c r="AH32">
        <v>521.162769794464</v>
      </c>
    </row>
    <row r="33" spans="1:34" x14ac:dyDescent="0.2">
      <c r="A33" t="s">
        <v>217</v>
      </c>
      <c r="B33">
        <v>40</v>
      </c>
      <c r="C33">
        <v>40</v>
      </c>
      <c r="D33">
        <v>80</v>
      </c>
      <c r="E33">
        <v>41</v>
      </c>
      <c r="F33">
        <v>3</v>
      </c>
      <c r="G33">
        <v>4152</v>
      </c>
      <c r="H33">
        <v>53</v>
      </c>
      <c r="I33">
        <v>120</v>
      </c>
      <c r="J33">
        <v>173</v>
      </c>
      <c r="K33">
        <v>81</v>
      </c>
      <c r="L33">
        <v>105000</v>
      </c>
      <c r="M33">
        <v>3075000</v>
      </c>
      <c r="N33">
        <v>0</v>
      </c>
      <c r="O33">
        <v>40</v>
      </c>
      <c r="P33">
        <v>48.316938586479402</v>
      </c>
      <c r="Q33">
        <v>0</v>
      </c>
      <c r="R33">
        <v>1900000</v>
      </c>
      <c r="S33">
        <v>48.316938586479402</v>
      </c>
      <c r="T33">
        <v>0</v>
      </c>
      <c r="U33">
        <v>48.316938586479402</v>
      </c>
      <c r="V33">
        <v>0</v>
      </c>
      <c r="W33">
        <v>33.674822459902202</v>
      </c>
      <c r="X33">
        <f t="shared" si="0"/>
        <v>1800000</v>
      </c>
      <c r="Y33">
        <v>100000</v>
      </c>
      <c r="Z33">
        <v>12</v>
      </c>
      <c r="AA33">
        <v>2</v>
      </c>
      <c r="AB33">
        <v>156</v>
      </c>
      <c r="AC33">
        <v>35</v>
      </c>
      <c r="AD33" t="s">
        <v>167</v>
      </c>
      <c r="AE33" t="s">
        <v>1</v>
      </c>
      <c r="AF33">
        <v>452.62490177154501</v>
      </c>
      <c r="AG33">
        <v>220.257317066192</v>
      </c>
      <c r="AH33">
        <v>672.88221883773804</v>
      </c>
    </row>
    <row r="34" spans="1:34" x14ac:dyDescent="0.2">
      <c r="A34" t="s">
        <v>218</v>
      </c>
      <c r="B34">
        <v>40</v>
      </c>
      <c r="C34">
        <v>40</v>
      </c>
      <c r="D34">
        <v>80</v>
      </c>
      <c r="E34">
        <v>41</v>
      </c>
      <c r="F34">
        <v>3</v>
      </c>
      <c r="G34">
        <v>3958</v>
      </c>
      <c r="H34">
        <v>68</v>
      </c>
      <c r="I34">
        <v>120</v>
      </c>
      <c r="J34">
        <v>188</v>
      </c>
      <c r="K34">
        <v>68</v>
      </c>
      <c r="L34">
        <v>105000</v>
      </c>
      <c r="M34">
        <v>3075000</v>
      </c>
      <c r="N34">
        <v>10</v>
      </c>
      <c r="O34">
        <v>30</v>
      </c>
      <c r="P34">
        <v>40.962540561998303</v>
      </c>
      <c r="Q34">
        <v>0</v>
      </c>
      <c r="R34">
        <v>1600000</v>
      </c>
      <c r="S34">
        <v>40.962540561998303</v>
      </c>
      <c r="T34">
        <v>0</v>
      </c>
      <c r="U34">
        <v>40.962540561998303</v>
      </c>
      <c r="V34">
        <v>0</v>
      </c>
      <c r="W34">
        <v>28.269790525305702</v>
      </c>
      <c r="X34">
        <f t="shared" si="0"/>
        <v>1500000</v>
      </c>
      <c r="Y34">
        <v>100000</v>
      </c>
      <c r="Z34">
        <v>10</v>
      </c>
      <c r="AA34">
        <v>2</v>
      </c>
      <c r="AB34">
        <v>119</v>
      </c>
      <c r="AC34">
        <v>14</v>
      </c>
      <c r="AD34" t="s">
        <v>168</v>
      </c>
      <c r="AE34" t="s">
        <v>1</v>
      </c>
      <c r="AF34">
        <v>468.61311721801701</v>
      </c>
      <c r="AG34">
        <v>135.34647917747401</v>
      </c>
      <c r="AH34">
        <v>603.95959639549199</v>
      </c>
    </row>
    <row r="35" spans="1:34" x14ac:dyDescent="0.2">
      <c r="A35" t="s">
        <v>219</v>
      </c>
      <c r="B35">
        <v>40</v>
      </c>
      <c r="C35">
        <v>40</v>
      </c>
      <c r="D35">
        <v>80</v>
      </c>
      <c r="E35">
        <v>41</v>
      </c>
      <c r="F35">
        <v>3</v>
      </c>
      <c r="G35">
        <v>4169</v>
      </c>
      <c r="H35">
        <v>59</v>
      </c>
      <c r="I35">
        <v>120</v>
      </c>
      <c r="J35">
        <v>179</v>
      </c>
      <c r="K35">
        <v>75</v>
      </c>
      <c r="L35">
        <v>105000</v>
      </c>
      <c r="M35">
        <v>3075000</v>
      </c>
      <c r="N35">
        <v>1</v>
      </c>
      <c r="O35">
        <v>39</v>
      </c>
      <c r="P35">
        <v>42.870411943813899</v>
      </c>
      <c r="Q35">
        <v>0</v>
      </c>
      <c r="R35">
        <v>1450001.04748603</v>
      </c>
      <c r="S35">
        <v>42.870411943813899</v>
      </c>
      <c r="T35">
        <v>0</v>
      </c>
      <c r="U35">
        <v>42.870411943813899</v>
      </c>
      <c r="V35">
        <v>0</v>
      </c>
      <c r="W35">
        <v>30.027808957860401</v>
      </c>
      <c r="X35">
        <f t="shared" si="0"/>
        <v>1800000</v>
      </c>
      <c r="Y35">
        <v>100000</v>
      </c>
      <c r="Z35">
        <v>12</v>
      </c>
      <c r="AA35">
        <v>2</v>
      </c>
      <c r="AB35">
        <v>133</v>
      </c>
      <c r="AC35">
        <v>24</v>
      </c>
      <c r="AD35" t="s">
        <v>169</v>
      </c>
      <c r="AE35" t="s">
        <v>1</v>
      </c>
      <c r="AF35">
        <v>450.65094494819601</v>
      </c>
      <c r="AG35">
        <v>81.632426023483205</v>
      </c>
      <c r="AH35">
        <v>532.28337097167901</v>
      </c>
    </row>
    <row r="36" spans="1:34" x14ac:dyDescent="0.2">
      <c r="A36" t="s">
        <v>220</v>
      </c>
      <c r="B36">
        <v>40</v>
      </c>
      <c r="C36">
        <v>40</v>
      </c>
      <c r="D36">
        <v>80</v>
      </c>
      <c r="E36">
        <v>41</v>
      </c>
      <c r="F36">
        <v>3</v>
      </c>
      <c r="G36">
        <v>4023</v>
      </c>
      <c r="H36">
        <v>64</v>
      </c>
      <c r="I36">
        <v>120</v>
      </c>
      <c r="J36">
        <v>184</v>
      </c>
      <c r="K36">
        <v>70</v>
      </c>
      <c r="L36">
        <v>105000</v>
      </c>
      <c r="M36">
        <v>3075000</v>
      </c>
      <c r="N36">
        <v>7</v>
      </c>
      <c r="O36">
        <v>33</v>
      </c>
      <c r="P36">
        <v>38.195181091642397</v>
      </c>
      <c r="Q36">
        <v>0</v>
      </c>
      <c r="R36">
        <v>1600000</v>
      </c>
      <c r="S36">
        <v>38.195181091642397</v>
      </c>
      <c r="T36">
        <v>0</v>
      </c>
      <c r="U36">
        <v>38.195181091642397</v>
      </c>
      <c r="V36">
        <v>0</v>
      </c>
      <c r="W36">
        <v>26.583885818731702</v>
      </c>
      <c r="X36">
        <f t="shared" si="0"/>
        <v>1500000</v>
      </c>
      <c r="Y36">
        <v>100000</v>
      </c>
      <c r="Z36">
        <v>10</v>
      </c>
      <c r="AA36">
        <v>2</v>
      </c>
      <c r="AB36">
        <v>118</v>
      </c>
      <c r="AC36">
        <v>15</v>
      </c>
      <c r="AD36" t="s">
        <v>170</v>
      </c>
      <c r="AE36" t="s">
        <v>1</v>
      </c>
      <c r="AF36">
        <v>459.37547707557599</v>
      </c>
      <c r="AG36">
        <v>89.720136880874605</v>
      </c>
      <c r="AH36">
        <v>549.09561395645096</v>
      </c>
    </row>
    <row r="37" spans="1:34" x14ac:dyDescent="0.2">
      <c r="A37" t="s">
        <v>221</v>
      </c>
      <c r="B37">
        <v>40</v>
      </c>
      <c r="C37">
        <v>40</v>
      </c>
      <c r="D37">
        <v>80</v>
      </c>
      <c r="E37">
        <v>41</v>
      </c>
      <c r="F37">
        <v>3</v>
      </c>
      <c r="G37">
        <v>4038</v>
      </c>
      <c r="H37">
        <v>57</v>
      </c>
      <c r="I37">
        <v>120</v>
      </c>
      <c r="J37">
        <v>177</v>
      </c>
      <c r="K37">
        <v>74</v>
      </c>
      <c r="L37">
        <v>105000</v>
      </c>
      <c r="M37">
        <v>3075000</v>
      </c>
      <c r="N37">
        <v>0</v>
      </c>
      <c r="O37">
        <v>40</v>
      </c>
      <c r="P37">
        <v>46.334736795900099</v>
      </c>
      <c r="Q37">
        <v>0</v>
      </c>
      <c r="R37">
        <v>1600000</v>
      </c>
      <c r="S37">
        <v>46.334736795900099</v>
      </c>
      <c r="T37">
        <v>0</v>
      </c>
      <c r="U37">
        <v>46.334736795900099</v>
      </c>
      <c r="V37">
        <v>0</v>
      </c>
      <c r="W37">
        <v>32.3541302526355</v>
      </c>
      <c r="X37">
        <f t="shared" si="0"/>
        <v>1500000</v>
      </c>
      <c r="Y37">
        <v>100000</v>
      </c>
      <c r="Z37">
        <v>10</v>
      </c>
      <c r="AA37">
        <v>2</v>
      </c>
      <c r="AB37">
        <v>136</v>
      </c>
      <c r="AC37">
        <v>27</v>
      </c>
      <c r="AD37" t="s">
        <v>171</v>
      </c>
      <c r="AE37" t="s">
        <v>1</v>
      </c>
      <c r="AF37">
        <v>502.58026814460698</v>
      </c>
      <c r="AG37">
        <v>222.42066884040801</v>
      </c>
      <c r="AH37">
        <v>725.00093698501496</v>
      </c>
    </row>
    <row r="38" spans="1:34" x14ac:dyDescent="0.2">
      <c r="A38" t="s">
        <v>222</v>
      </c>
      <c r="B38">
        <v>40</v>
      </c>
      <c r="C38">
        <v>40</v>
      </c>
      <c r="D38">
        <v>80</v>
      </c>
      <c r="E38">
        <v>41</v>
      </c>
      <c r="F38">
        <v>3</v>
      </c>
      <c r="G38">
        <v>4347</v>
      </c>
      <c r="H38">
        <v>64</v>
      </c>
      <c r="I38">
        <v>120</v>
      </c>
      <c r="J38">
        <v>184</v>
      </c>
      <c r="K38">
        <v>81</v>
      </c>
      <c r="L38">
        <v>105000</v>
      </c>
      <c r="M38">
        <v>3075000</v>
      </c>
      <c r="N38">
        <v>9</v>
      </c>
      <c r="O38">
        <v>31</v>
      </c>
      <c r="P38">
        <v>46.917507657479597</v>
      </c>
      <c r="Q38">
        <v>0</v>
      </c>
      <c r="R38">
        <v>1150000.5095108601</v>
      </c>
      <c r="S38">
        <v>46.917507657479597</v>
      </c>
      <c r="T38">
        <v>0</v>
      </c>
      <c r="U38">
        <v>46.917507657479597</v>
      </c>
      <c r="V38">
        <v>0</v>
      </c>
      <c r="W38">
        <v>33.188130743109703</v>
      </c>
      <c r="X38">
        <f t="shared" si="0"/>
        <v>1350000</v>
      </c>
      <c r="Y38">
        <v>100000</v>
      </c>
      <c r="Z38">
        <v>9</v>
      </c>
      <c r="AA38">
        <v>2</v>
      </c>
      <c r="AB38">
        <v>141</v>
      </c>
      <c r="AC38">
        <v>28</v>
      </c>
      <c r="AD38" t="s">
        <v>172</v>
      </c>
      <c r="AE38" t="s">
        <v>3</v>
      </c>
      <c r="AF38">
        <v>565.15974211692799</v>
      </c>
      <c r="AG38">
        <v>171.53467893600401</v>
      </c>
      <c r="AH38">
        <v>736.69442105293194</v>
      </c>
    </row>
    <row r="39" spans="1:34" x14ac:dyDescent="0.2">
      <c r="A39" t="s">
        <v>223</v>
      </c>
      <c r="B39">
        <v>40</v>
      </c>
      <c r="C39">
        <v>40</v>
      </c>
      <c r="D39">
        <v>80</v>
      </c>
      <c r="E39">
        <v>41</v>
      </c>
      <c r="F39">
        <v>3</v>
      </c>
      <c r="G39">
        <v>3840</v>
      </c>
      <c r="H39">
        <v>57</v>
      </c>
      <c r="I39">
        <v>120</v>
      </c>
      <c r="J39">
        <v>177</v>
      </c>
      <c r="K39">
        <v>71</v>
      </c>
      <c r="L39">
        <v>105000</v>
      </c>
      <c r="M39">
        <v>3075000</v>
      </c>
      <c r="N39">
        <v>2</v>
      </c>
      <c r="O39">
        <v>38</v>
      </c>
      <c r="P39">
        <v>35.845019127102901</v>
      </c>
      <c r="Q39">
        <v>0</v>
      </c>
      <c r="R39">
        <v>2950000</v>
      </c>
      <c r="S39">
        <v>35.845019127102901</v>
      </c>
      <c r="T39">
        <v>0</v>
      </c>
      <c r="U39">
        <v>35.845019127102901</v>
      </c>
      <c r="V39">
        <v>0</v>
      </c>
      <c r="W39">
        <v>25.383764345327101</v>
      </c>
      <c r="X39">
        <f t="shared" si="0"/>
        <v>1350000</v>
      </c>
      <c r="Y39">
        <v>100000</v>
      </c>
      <c r="Z39">
        <v>9</v>
      </c>
      <c r="AA39">
        <v>2</v>
      </c>
      <c r="AB39">
        <v>116</v>
      </c>
      <c r="AC39">
        <v>21</v>
      </c>
      <c r="AD39" t="s">
        <v>173</v>
      </c>
      <c r="AE39" t="s">
        <v>3</v>
      </c>
      <c r="AF39">
        <v>417.55774021148602</v>
      </c>
      <c r="AG39">
        <v>164.965266942977</v>
      </c>
      <c r="AH39">
        <v>582.52300715446404</v>
      </c>
    </row>
    <row r="40" spans="1:34" x14ac:dyDescent="0.2">
      <c r="A40" t="s">
        <v>224</v>
      </c>
      <c r="B40">
        <v>40</v>
      </c>
      <c r="C40">
        <v>40</v>
      </c>
      <c r="D40">
        <v>80</v>
      </c>
      <c r="E40">
        <v>41</v>
      </c>
      <c r="F40">
        <v>3</v>
      </c>
      <c r="G40">
        <v>3937</v>
      </c>
      <c r="H40">
        <v>57</v>
      </c>
      <c r="I40">
        <v>120</v>
      </c>
      <c r="J40">
        <v>177</v>
      </c>
      <c r="K40">
        <v>79</v>
      </c>
      <c r="L40">
        <v>105000</v>
      </c>
      <c r="M40">
        <v>3075000</v>
      </c>
      <c r="N40">
        <v>5</v>
      </c>
      <c r="O40">
        <v>35</v>
      </c>
      <c r="P40">
        <v>45.999465267961497</v>
      </c>
      <c r="Q40" s="1">
        <v>9.6033002907030106E-5</v>
      </c>
      <c r="R40">
        <v>1750000</v>
      </c>
      <c r="S40">
        <v>46.003883159006598</v>
      </c>
      <c r="T40">
        <v>0</v>
      </c>
      <c r="U40">
        <v>46.003883159006598</v>
      </c>
      <c r="V40">
        <v>0</v>
      </c>
      <c r="W40">
        <v>32.065030889297603</v>
      </c>
      <c r="X40">
        <f t="shared" si="0"/>
        <v>1650000</v>
      </c>
      <c r="Y40">
        <v>100000</v>
      </c>
      <c r="Z40">
        <v>11</v>
      </c>
      <c r="AA40">
        <v>2</v>
      </c>
      <c r="AB40">
        <v>145</v>
      </c>
      <c r="AC40">
        <v>28</v>
      </c>
      <c r="AD40" t="s">
        <v>174</v>
      </c>
      <c r="AE40" t="s">
        <v>1</v>
      </c>
      <c r="AF40">
        <v>407.20061278343201</v>
      </c>
      <c r="AG40">
        <v>161.46263074874801</v>
      </c>
      <c r="AH40">
        <v>568.66324353217999</v>
      </c>
    </row>
    <row r="41" spans="1:34" x14ac:dyDescent="0.2">
      <c r="A41" t="s">
        <v>225</v>
      </c>
      <c r="B41">
        <v>40</v>
      </c>
      <c r="C41">
        <v>40</v>
      </c>
      <c r="D41">
        <v>80</v>
      </c>
      <c r="E41">
        <v>41</v>
      </c>
      <c r="F41">
        <v>3</v>
      </c>
      <c r="G41">
        <v>3605</v>
      </c>
      <c r="H41">
        <v>58</v>
      </c>
      <c r="I41">
        <v>120</v>
      </c>
      <c r="J41">
        <v>178</v>
      </c>
      <c r="K41">
        <v>83</v>
      </c>
      <c r="L41">
        <v>105000</v>
      </c>
      <c r="M41">
        <v>3075000</v>
      </c>
      <c r="N41">
        <v>2</v>
      </c>
      <c r="O41">
        <v>38</v>
      </c>
      <c r="P41">
        <v>49.967937097539298</v>
      </c>
      <c r="Q41">
        <v>0</v>
      </c>
      <c r="R41">
        <v>1900000</v>
      </c>
      <c r="S41">
        <v>49.967937097539298</v>
      </c>
      <c r="T41">
        <v>0</v>
      </c>
      <c r="U41">
        <v>49.967937097539298</v>
      </c>
      <c r="V41">
        <v>0</v>
      </c>
      <c r="W41">
        <v>35.038452823154401</v>
      </c>
      <c r="X41">
        <f t="shared" si="0"/>
        <v>1800000</v>
      </c>
      <c r="Y41">
        <v>100000</v>
      </c>
      <c r="Z41">
        <v>12</v>
      </c>
      <c r="AA41">
        <v>2</v>
      </c>
      <c r="AB41">
        <v>151</v>
      </c>
      <c r="AC41">
        <v>29</v>
      </c>
      <c r="AD41" t="s">
        <v>175</v>
      </c>
      <c r="AE41" t="s">
        <v>3</v>
      </c>
      <c r="AF41">
        <v>420.29395818710299</v>
      </c>
      <c r="AG41">
        <v>159.02583909034701</v>
      </c>
      <c r="AH41">
        <v>579.31979727744999</v>
      </c>
    </row>
    <row r="42" spans="1:34" x14ac:dyDescent="0.2">
      <c r="A42" t="s">
        <v>226</v>
      </c>
      <c r="B42">
        <v>50</v>
      </c>
      <c r="C42">
        <v>50</v>
      </c>
      <c r="D42">
        <v>100</v>
      </c>
      <c r="E42">
        <v>41</v>
      </c>
      <c r="F42">
        <v>3</v>
      </c>
      <c r="G42">
        <v>5165</v>
      </c>
      <c r="H42">
        <v>69</v>
      </c>
      <c r="I42">
        <v>120</v>
      </c>
      <c r="J42">
        <v>189</v>
      </c>
      <c r="K42">
        <v>86</v>
      </c>
      <c r="L42">
        <v>105000</v>
      </c>
      <c r="M42">
        <v>3075000</v>
      </c>
      <c r="N42">
        <v>14</v>
      </c>
      <c r="O42">
        <v>36</v>
      </c>
      <c r="P42">
        <v>60.452690663387102</v>
      </c>
      <c r="Q42" s="1">
        <v>1.36122031024091E-5</v>
      </c>
      <c r="R42">
        <v>1750000</v>
      </c>
      <c r="S42">
        <v>60.453513568892099</v>
      </c>
      <c r="T42">
        <v>0</v>
      </c>
      <c r="U42">
        <v>60.453513568892099</v>
      </c>
      <c r="V42">
        <v>0</v>
      </c>
      <c r="W42">
        <v>33.672108141335301</v>
      </c>
      <c r="X42">
        <f t="shared" si="0"/>
        <v>1650000</v>
      </c>
      <c r="Y42">
        <v>100000</v>
      </c>
      <c r="Z42">
        <v>11</v>
      </c>
      <c r="AA42">
        <v>2</v>
      </c>
      <c r="AB42">
        <v>167</v>
      </c>
      <c r="AC42">
        <v>29</v>
      </c>
      <c r="AD42" t="s">
        <v>176</v>
      </c>
      <c r="AE42" t="s">
        <v>3</v>
      </c>
      <c r="AF42">
        <v>954.258726119995</v>
      </c>
      <c r="AG42">
        <v>182.79385805129999</v>
      </c>
      <c r="AH42">
        <v>1137.0525841712899</v>
      </c>
    </row>
    <row r="43" spans="1:34" x14ac:dyDescent="0.2">
      <c r="A43" t="s">
        <v>227</v>
      </c>
      <c r="B43">
        <v>50</v>
      </c>
      <c r="C43">
        <v>50</v>
      </c>
      <c r="D43">
        <v>100</v>
      </c>
      <c r="E43">
        <v>41</v>
      </c>
      <c r="F43">
        <v>3</v>
      </c>
      <c r="G43">
        <v>5128</v>
      </c>
      <c r="H43">
        <v>68</v>
      </c>
      <c r="I43">
        <v>120</v>
      </c>
      <c r="J43">
        <v>188</v>
      </c>
      <c r="K43">
        <v>103</v>
      </c>
      <c r="L43">
        <v>105000</v>
      </c>
      <c r="M43">
        <v>3075000</v>
      </c>
      <c r="N43">
        <v>2</v>
      </c>
      <c r="O43">
        <v>48</v>
      </c>
      <c r="P43">
        <v>67.694211186069495</v>
      </c>
      <c r="Q43">
        <v>0</v>
      </c>
      <c r="R43">
        <v>1750000</v>
      </c>
      <c r="S43">
        <v>67.694211186069495</v>
      </c>
      <c r="T43">
        <v>0</v>
      </c>
      <c r="U43">
        <v>67.694211186069495</v>
      </c>
      <c r="V43">
        <v>0</v>
      </c>
      <c r="W43">
        <v>37.754529610721299</v>
      </c>
      <c r="X43">
        <f t="shared" si="0"/>
        <v>1650000</v>
      </c>
      <c r="Y43">
        <v>100000</v>
      </c>
      <c r="Z43">
        <v>11</v>
      </c>
      <c r="AA43">
        <v>2</v>
      </c>
      <c r="AB43">
        <v>198</v>
      </c>
      <c r="AC43">
        <v>41</v>
      </c>
      <c r="AD43" t="s">
        <v>177</v>
      </c>
      <c r="AE43" t="s">
        <v>1</v>
      </c>
      <c r="AF43">
        <v>941.51287508010796</v>
      </c>
      <c r="AG43">
        <v>293.762964963912</v>
      </c>
      <c r="AH43">
        <v>1235.27584004402</v>
      </c>
    </row>
    <row r="44" spans="1:34" x14ac:dyDescent="0.2">
      <c r="A44" t="s">
        <v>228</v>
      </c>
      <c r="B44">
        <v>50</v>
      </c>
      <c r="C44">
        <v>50</v>
      </c>
      <c r="D44">
        <v>100</v>
      </c>
      <c r="E44">
        <v>41</v>
      </c>
      <c r="F44">
        <v>3</v>
      </c>
      <c r="G44">
        <v>5452</v>
      </c>
      <c r="H44">
        <v>79</v>
      </c>
      <c r="I44">
        <v>120</v>
      </c>
      <c r="J44">
        <v>199</v>
      </c>
      <c r="K44">
        <v>107</v>
      </c>
      <c r="L44">
        <v>105000</v>
      </c>
      <c r="M44">
        <v>3075000</v>
      </c>
      <c r="N44">
        <v>11</v>
      </c>
      <c r="O44">
        <v>39</v>
      </c>
      <c r="P44">
        <v>64.258363530394504</v>
      </c>
      <c r="Q44">
        <v>0</v>
      </c>
      <c r="R44">
        <v>1900000</v>
      </c>
      <c r="S44">
        <v>64.258363530394504</v>
      </c>
      <c r="T44">
        <v>0</v>
      </c>
      <c r="U44">
        <v>64.258363530394504</v>
      </c>
      <c r="V44">
        <v>0</v>
      </c>
      <c r="W44">
        <v>36.1050181182367</v>
      </c>
      <c r="X44">
        <f t="shared" si="0"/>
        <v>1800000</v>
      </c>
      <c r="Y44">
        <v>100000</v>
      </c>
      <c r="Z44">
        <v>12</v>
      </c>
      <c r="AA44">
        <v>2</v>
      </c>
      <c r="AB44">
        <v>194</v>
      </c>
      <c r="AC44">
        <v>38</v>
      </c>
      <c r="AD44" t="s">
        <v>178</v>
      </c>
      <c r="AE44" t="s">
        <v>3</v>
      </c>
      <c r="AF44">
        <v>1158.0212471485099</v>
      </c>
      <c r="AG44">
        <v>228.46899199485699</v>
      </c>
      <c r="AH44">
        <v>1386.49023914337</v>
      </c>
    </row>
    <row r="45" spans="1:34" x14ac:dyDescent="0.2">
      <c r="A45" t="s">
        <v>229</v>
      </c>
      <c r="B45">
        <v>50</v>
      </c>
      <c r="C45">
        <v>50</v>
      </c>
      <c r="D45">
        <v>100</v>
      </c>
      <c r="E45">
        <v>41</v>
      </c>
      <c r="F45">
        <v>3</v>
      </c>
      <c r="G45">
        <v>5052</v>
      </c>
      <c r="H45">
        <v>71</v>
      </c>
      <c r="I45">
        <v>120</v>
      </c>
      <c r="J45">
        <v>191</v>
      </c>
      <c r="K45">
        <v>92</v>
      </c>
      <c r="L45">
        <v>105000</v>
      </c>
      <c r="M45">
        <v>3075000</v>
      </c>
      <c r="N45">
        <v>0</v>
      </c>
      <c r="O45">
        <v>50</v>
      </c>
      <c r="P45">
        <v>59.804840922733199</v>
      </c>
      <c r="Q45">
        <v>0</v>
      </c>
      <c r="R45">
        <v>1750000.17452006</v>
      </c>
      <c r="S45">
        <v>59.804840922733199</v>
      </c>
      <c r="T45">
        <v>0</v>
      </c>
      <c r="U45">
        <v>59.804840922733199</v>
      </c>
      <c r="V45">
        <v>0</v>
      </c>
      <c r="W45">
        <v>33.382904553639897</v>
      </c>
      <c r="X45">
        <f t="shared" si="0"/>
        <v>1650000</v>
      </c>
      <c r="Y45">
        <v>100000</v>
      </c>
      <c r="Z45">
        <v>11</v>
      </c>
      <c r="AA45">
        <v>2</v>
      </c>
      <c r="AB45">
        <v>170</v>
      </c>
      <c r="AC45">
        <v>28</v>
      </c>
      <c r="AD45" t="s">
        <v>179</v>
      </c>
      <c r="AE45" t="s">
        <v>3</v>
      </c>
      <c r="AF45">
        <v>919.27295994758595</v>
      </c>
      <c r="AG45">
        <v>194.61141109466499</v>
      </c>
      <c r="AH45">
        <v>1113.88437104225</v>
      </c>
    </row>
    <row r="46" spans="1:34" x14ac:dyDescent="0.2">
      <c r="A46" t="s">
        <v>230</v>
      </c>
      <c r="B46">
        <v>50</v>
      </c>
      <c r="C46">
        <v>50</v>
      </c>
      <c r="D46">
        <v>100</v>
      </c>
      <c r="E46">
        <v>41</v>
      </c>
      <c r="F46">
        <v>3</v>
      </c>
      <c r="G46">
        <v>5783</v>
      </c>
      <c r="H46">
        <v>72</v>
      </c>
      <c r="I46">
        <v>120</v>
      </c>
      <c r="J46">
        <v>192</v>
      </c>
      <c r="K46">
        <v>102</v>
      </c>
      <c r="L46">
        <v>105000</v>
      </c>
      <c r="M46">
        <v>3075000</v>
      </c>
      <c r="N46">
        <v>11</v>
      </c>
      <c r="O46">
        <v>39</v>
      </c>
      <c r="P46">
        <v>63.397345756324</v>
      </c>
      <c r="Q46">
        <v>0</v>
      </c>
      <c r="R46">
        <v>2050000</v>
      </c>
      <c r="S46">
        <v>63.397345756324</v>
      </c>
      <c r="T46">
        <v>0</v>
      </c>
      <c r="U46">
        <v>63.397345756324</v>
      </c>
      <c r="V46">
        <v>0</v>
      </c>
      <c r="W46">
        <v>35.3884074537944</v>
      </c>
      <c r="X46">
        <f t="shared" si="0"/>
        <v>1950000</v>
      </c>
      <c r="Y46">
        <v>100000</v>
      </c>
      <c r="Z46">
        <v>13</v>
      </c>
      <c r="AA46">
        <v>2</v>
      </c>
      <c r="AB46">
        <v>194</v>
      </c>
      <c r="AC46">
        <v>39</v>
      </c>
      <c r="AD46" t="s">
        <v>180</v>
      </c>
      <c r="AE46" t="s">
        <v>3</v>
      </c>
      <c r="AF46">
        <v>1272.3284952640499</v>
      </c>
      <c r="AG46">
        <v>242.57301616668701</v>
      </c>
      <c r="AH46">
        <v>1514.9015114307399</v>
      </c>
    </row>
    <row r="47" spans="1:34" x14ac:dyDescent="0.2">
      <c r="A47" t="s">
        <v>231</v>
      </c>
      <c r="B47">
        <v>50</v>
      </c>
      <c r="C47">
        <v>50</v>
      </c>
      <c r="D47">
        <v>100</v>
      </c>
      <c r="E47">
        <v>41</v>
      </c>
      <c r="F47">
        <v>3</v>
      </c>
      <c r="G47">
        <v>5484</v>
      </c>
      <c r="H47">
        <v>68</v>
      </c>
      <c r="I47">
        <v>120</v>
      </c>
      <c r="J47">
        <v>188</v>
      </c>
      <c r="K47">
        <v>103</v>
      </c>
      <c r="L47">
        <v>105000</v>
      </c>
      <c r="M47">
        <v>3075000</v>
      </c>
      <c r="N47">
        <v>5</v>
      </c>
      <c r="O47">
        <v>45</v>
      </c>
      <c r="P47">
        <v>63.033771797798998</v>
      </c>
      <c r="Q47">
        <v>0</v>
      </c>
      <c r="R47">
        <v>1450001.0638297801</v>
      </c>
      <c r="S47">
        <v>63.033771797798998</v>
      </c>
      <c r="T47">
        <v>0</v>
      </c>
      <c r="U47">
        <v>63.033771797798998</v>
      </c>
      <c r="V47">
        <v>0</v>
      </c>
      <c r="W47">
        <v>35.520263078679399</v>
      </c>
      <c r="X47">
        <f t="shared" si="0"/>
        <v>1800000</v>
      </c>
      <c r="Y47">
        <v>100000</v>
      </c>
      <c r="Z47">
        <v>12</v>
      </c>
      <c r="AA47">
        <v>2</v>
      </c>
      <c r="AB47">
        <v>189</v>
      </c>
      <c r="AC47">
        <v>40</v>
      </c>
      <c r="AD47" t="s">
        <v>181</v>
      </c>
      <c r="AE47" t="s">
        <v>1</v>
      </c>
      <c r="AF47">
        <v>1046.4700579643199</v>
      </c>
      <c r="AG47">
        <v>126.953025102615</v>
      </c>
      <c r="AH47">
        <v>1173.4230830669401</v>
      </c>
    </row>
    <row r="48" spans="1:34" x14ac:dyDescent="0.2">
      <c r="A48" t="s">
        <v>232</v>
      </c>
      <c r="B48">
        <v>50</v>
      </c>
      <c r="C48">
        <v>50</v>
      </c>
      <c r="D48">
        <v>100</v>
      </c>
      <c r="E48">
        <v>41</v>
      </c>
      <c r="F48">
        <v>3</v>
      </c>
      <c r="G48">
        <v>5218</v>
      </c>
      <c r="H48">
        <v>84</v>
      </c>
      <c r="I48">
        <v>120</v>
      </c>
      <c r="J48">
        <v>204</v>
      </c>
      <c r="K48">
        <v>96</v>
      </c>
      <c r="L48">
        <v>105000</v>
      </c>
      <c r="M48">
        <v>3075000</v>
      </c>
      <c r="N48">
        <v>10</v>
      </c>
      <c r="O48">
        <v>40</v>
      </c>
      <c r="P48">
        <v>64.180183753846407</v>
      </c>
      <c r="Q48">
        <v>0</v>
      </c>
      <c r="R48">
        <v>1600000.3267973801</v>
      </c>
      <c r="S48">
        <v>64.180183753846407</v>
      </c>
      <c r="T48">
        <v>0</v>
      </c>
      <c r="U48">
        <v>64.180183753846407</v>
      </c>
      <c r="V48">
        <v>0</v>
      </c>
      <c r="W48">
        <v>35.308110252307799</v>
      </c>
      <c r="X48">
        <f t="shared" si="0"/>
        <v>1800000</v>
      </c>
      <c r="Y48">
        <v>100000</v>
      </c>
      <c r="Z48">
        <v>12</v>
      </c>
      <c r="AA48">
        <v>2</v>
      </c>
      <c r="AB48">
        <v>186</v>
      </c>
      <c r="AC48">
        <v>26</v>
      </c>
      <c r="AD48" t="s">
        <v>182</v>
      </c>
      <c r="AE48" t="s">
        <v>3</v>
      </c>
      <c r="AF48">
        <v>1086.7812922000801</v>
      </c>
      <c r="AG48">
        <v>204.84176707267699</v>
      </c>
      <c r="AH48">
        <v>1291.62305927276</v>
      </c>
    </row>
    <row r="49" spans="1:34" x14ac:dyDescent="0.2">
      <c r="A49" t="s">
        <v>233</v>
      </c>
      <c r="B49">
        <v>50</v>
      </c>
      <c r="C49">
        <v>50</v>
      </c>
      <c r="D49">
        <v>100</v>
      </c>
      <c r="E49">
        <v>41</v>
      </c>
      <c r="F49">
        <v>3</v>
      </c>
      <c r="G49">
        <v>5759</v>
      </c>
      <c r="H49">
        <v>73</v>
      </c>
      <c r="I49">
        <v>120</v>
      </c>
      <c r="J49">
        <v>193</v>
      </c>
      <c r="K49">
        <v>96</v>
      </c>
      <c r="L49">
        <v>105000</v>
      </c>
      <c r="M49">
        <v>3075000</v>
      </c>
      <c r="N49">
        <v>2</v>
      </c>
      <c r="O49">
        <v>48</v>
      </c>
      <c r="P49">
        <v>59.510565189664099</v>
      </c>
      <c r="Q49">
        <v>0</v>
      </c>
      <c r="R49">
        <v>1300000</v>
      </c>
      <c r="S49">
        <v>59.510565189664099</v>
      </c>
      <c r="T49">
        <v>0</v>
      </c>
      <c r="U49">
        <v>59.510565189664099</v>
      </c>
      <c r="V49">
        <v>0</v>
      </c>
      <c r="W49">
        <v>33.256339113798496</v>
      </c>
      <c r="X49">
        <f t="shared" si="0"/>
        <v>1200000</v>
      </c>
      <c r="Y49">
        <v>100000</v>
      </c>
      <c r="Z49">
        <v>8</v>
      </c>
      <c r="AA49">
        <v>2</v>
      </c>
      <c r="AB49">
        <v>175</v>
      </c>
      <c r="AC49">
        <v>30</v>
      </c>
      <c r="AD49" t="s">
        <v>183</v>
      </c>
      <c r="AE49" t="s">
        <v>3</v>
      </c>
      <c r="AF49">
        <v>1236.7747070789301</v>
      </c>
      <c r="AG49">
        <v>242.533853769302</v>
      </c>
      <c r="AH49">
        <v>1479.3085608482299</v>
      </c>
    </row>
    <row r="50" spans="1:34" x14ac:dyDescent="0.2">
      <c r="A50" t="s">
        <v>234</v>
      </c>
      <c r="B50">
        <v>50</v>
      </c>
      <c r="C50">
        <v>50</v>
      </c>
      <c r="D50">
        <v>100</v>
      </c>
      <c r="E50">
        <v>41</v>
      </c>
      <c r="F50">
        <v>3</v>
      </c>
      <c r="G50">
        <v>5289</v>
      </c>
      <c r="H50">
        <v>72</v>
      </c>
      <c r="I50">
        <v>120</v>
      </c>
      <c r="J50">
        <v>192</v>
      </c>
      <c r="K50">
        <v>94</v>
      </c>
      <c r="L50">
        <v>105000</v>
      </c>
      <c r="M50">
        <v>3075000</v>
      </c>
      <c r="N50">
        <v>10</v>
      </c>
      <c r="O50">
        <v>40</v>
      </c>
      <c r="P50">
        <v>60.385712594362303</v>
      </c>
      <c r="Q50">
        <v>0</v>
      </c>
      <c r="R50">
        <v>1600000</v>
      </c>
      <c r="S50">
        <v>60.385712594362303</v>
      </c>
      <c r="T50">
        <v>0</v>
      </c>
      <c r="U50">
        <v>60.385712594362303</v>
      </c>
      <c r="V50">
        <v>0</v>
      </c>
      <c r="W50">
        <v>33.6814275566174</v>
      </c>
      <c r="X50">
        <f t="shared" si="0"/>
        <v>1350000</v>
      </c>
      <c r="Y50">
        <v>100000</v>
      </c>
      <c r="Z50">
        <v>9</v>
      </c>
      <c r="AA50">
        <v>2</v>
      </c>
      <c r="AB50">
        <v>178</v>
      </c>
      <c r="AC50">
        <v>33</v>
      </c>
      <c r="AD50" t="s">
        <v>184</v>
      </c>
      <c r="AE50" t="s">
        <v>3</v>
      </c>
      <c r="AF50">
        <v>1212.57941484451</v>
      </c>
      <c r="AG50">
        <v>208.043116807937</v>
      </c>
      <c r="AH50">
        <v>1420.6225316524501</v>
      </c>
    </row>
    <row r="51" spans="1:34" x14ac:dyDescent="0.2">
      <c r="A51" t="s">
        <v>235</v>
      </c>
      <c r="B51">
        <v>50</v>
      </c>
      <c r="C51">
        <v>50</v>
      </c>
      <c r="D51">
        <v>100</v>
      </c>
      <c r="E51">
        <v>41</v>
      </c>
      <c r="F51">
        <v>3</v>
      </c>
      <c r="G51">
        <v>4789</v>
      </c>
      <c r="H51">
        <v>75</v>
      </c>
      <c r="I51">
        <v>120</v>
      </c>
      <c r="J51">
        <v>195</v>
      </c>
      <c r="K51">
        <v>104</v>
      </c>
      <c r="L51">
        <v>105000</v>
      </c>
      <c r="M51">
        <v>3075000</v>
      </c>
      <c r="N51">
        <v>1</v>
      </c>
      <c r="O51">
        <v>49</v>
      </c>
      <c r="P51">
        <v>66.066139663268999</v>
      </c>
      <c r="Q51">
        <v>0</v>
      </c>
      <c r="R51">
        <v>2350000.1709401701</v>
      </c>
      <c r="S51">
        <v>66.066139663268999</v>
      </c>
      <c r="T51">
        <v>0</v>
      </c>
      <c r="U51">
        <v>66.066139663268999</v>
      </c>
      <c r="V51">
        <v>0</v>
      </c>
      <c r="W51">
        <v>36.739683797961398</v>
      </c>
      <c r="X51">
        <f t="shared" si="0"/>
        <v>2400000</v>
      </c>
      <c r="Y51">
        <v>100000</v>
      </c>
      <c r="Z51">
        <v>16</v>
      </c>
      <c r="AA51">
        <v>2</v>
      </c>
      <c r="AB51">
        <v>196</v>
      </c>
      <c r="AC51">
        <v>34</v>
      </c>
      <c r="AD51" t="s">
        <v>185</v>
      </c>
      <c r="AE51" t="s">
        <v>3</v>
      </c>
      <c r="AF51">
        <v>2211.6541802883098</v>
      </c>
      <c r="AG51">
        <v>437.98937988281199</v>
      </c>
      <c r="AH51">
        <v>2649.64356017112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33D3-788D-5942-B1E2-D7BE09CA1D89}">
  <dimension ref="A1:AH51"/>
  <sheetViews>
    <sheetView workbookViewId="0">
      <selection activeCell="A2" sqref="A2:A51"/>
    </sheetView>
  </sheetViews>
  <sheetFormatPr baseColWidth="10" defaultRowHeight="16" x14ac:dyDescent="0.2"/>
  <sheetData>
    <row r="1" spans="1:34" x14ac:dyDescent="0.2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</row>
    <row r="2" spans="1:34" x14ac:dyDescent="0.2">
      <c r="A2" t="s">
        <v>236</v>
      </c>
      <c r="B2">
        <v>10</v>
      </c>
      <c r="C2">
        <v>10</v>
      </c>
      <c r="D2">
        <v>20</v>
      </c>
      <c r="E2">
        <v>30</v>
      </c>
      <c r="F2">
        <v>3</v>
      </c>
      <c r="G2">
        <v>751</v>
      </c>
      <c r="H2">
        <v>18</v>
      </c>
      <c r="I2">
        <v>120</v>
      </c>
      <c r="J2">
        <v>138</v>
      </c>
      <c r="K2">
        <v>20</v>
      </c>
      <c r="L2">
        <v>105000</v>
      </c>
      <c r="M2">
        <v>2250000</v>
      </c>
      <c r="N2">
        <v>2</v>
      </c>
      <c r="O2">
        <v>8</v>
      </c>
      <c r="P2">
        <v>14.3490194132602</v>
      </c>
      <c r="Q2">
        <v>0</v>
      </c>
      <c r="R2">
        <v>2350000</v>
      </c>
      <c r="S2">
        <v>14.3490194132602</v>
      </c>
      <c r="T2">
        <v>0</v>
      </c>
      <c r="U2">
        <v>14.3490194132602</v>
      </c>
      <c r="V2">
        <v>0</v>
      </c>
      <c r="W2">
        <v>39.547058239780597</v>
      </c>
      <c r="X2">
        <f>150000*Z2</f>
        <v>600000</v>
      </c>
      <c r="Y2">
        <v>100000</v>
      </c>
      <c r="Z2">
        <v>4</v>
      </c>
      <c r="AA2">
        <v>2</v>
      </c>
      <c r="AB2">
        <v>41</v>
      </c>
      <c r="AC2">
        <v>7</v>
      </c>
      <c r="AD2" t="s">
        <v>87</v>
      </c>
      <c r="AE2" t="s">
        <v>12</v>
      </c>
      <c r="AF2">
        <v>9.4157738685607892</v>
      </c>
      <c r="AG2">
        <v>6.73197197914123</v>
      </c>
      <c r="AH2">
        <v>16.147745847702001</v>
      </c>
    </row>
    <row r="3" spans="1:34" x14ac:dyDescent="0.2">
      <c r="A3" t="s">
        <v>237</v>
      </c>
      <c r="B3">
        <v>10</v>
      </c>
      <c r="C3">
        <v>10</v>
      </c>
      <c r="D3">
        <v>20</v>
      </c>
      <c r="E3">
        <v>30</v>
      </c>
      <c r="F3">
        <v>3</v>
      </c>
      <c r="G3">
        <v>852</v>
      </c>
      <c r="H3">
        <v>12</v>
      </c>
      <c r="I3">
        <v>120</v>
      </c>
      <c r="J3">
        <v>132</v>
      </c>
      <c r="K3">
        <v>18</v>
      </c>
      <c r="L3">
        <v>105000</v>
      </c>
      <c r="M3">
        <v>2250000</v>
      </c>
      <c r="N3">
        <v>0</v>
      </c>
      <c r="O3">
        <v>10</v>
      </c>
      <c r="P3">
        <v>8.1845214300659599</v>
      </c>
      <c r="Q3">
        <v>0</v>
      </c>
      <c r="R3">
        <v>550000</v>
      </c>
      <c r="S3">
        <v>8.1845214300659599</v>
      </c>
      <c r="T3">
        <v>0</v>
      </c>
      <c r="U3">
        <v>8.1845214300659599</v>
      </c>
      <c r="V3">
        <v>0</v>
      </c>
      <c r="W3">
        <v>23.303564290197901</v>
      </c>
      <c r="X3">
        <f t="shared" ref="X3:X51" si="0">150000*Z3</f>
        <v>450000</v>
      </c>
      <c r="Y3">
        <v>100000</v>
      </c>
      <c r="Z3">
        <v>3</v>
      </c>
      <c r="AA3">
        <v>2</v>
      </c>
      <c r="AB3">
        <v>30</v>
      </c>
      <c r="AC3">
        <v>7</v>
      </c>
      <c r="AD3" t="s">
        <v>88</v>
      </c>
      <c r="AE3" t="s">
        <v>3</v>
      </c>
      <c r="AF3">
        <v>9.8515148162841797</v>
      </c>
      <c r="AG3">
        <v>3.3091731071472101</v>
      </c>
      <c r="AH3">
        <v>13.160687923431301</v>
      </c>
    </row>
    <row r="4" spans="1:34" x14ac:dyDescent="0.2">
      <c r="A4" t="s">
        <v>238</v>
      </c>
      <c r="B4">
        <v>10</v>
      </c>
      <c r="C4">
        <v>10</v>
      </c>
      <c r="D4">
        <v>20</v>
      </c>
      <c r="E4">
        <v>30</v>
      </c>
      <c r="F4">
        <v>3</v>
      </c>
      <c r="G4">
        <v>856</v>
      </c>
      <c r="H4">
        <v>18</v>
      </c>
      <c r="I4">
        <v>120</v>
      </c>
      <c r="J4">
        <v>138</v>
      </c>
      <c r="K4">
        <v>18</v>
      </c>
      <c r="L4">
        <v>105000</v>
      </c>
      <c r="M4">
        <v>2250000</v>
      </c>
      <c r="N4">
        <v>1</v>
      </c>
      <c r="O4">
        <v>9</v>
      </c>
      <c r="P4">
        <v>6.3762983166081399</v>
      </c>
      <c r="Q4">
        <v>0</v>
      </c>
      <c r="R4">
        <v>350000</v>
      </c>
      <c r="S4">
        <v>6.3762983166081399</v>
      </c>
      <c r="T4">
        <v>0</v>
      </c>
      <c r="U4">
        <v>6.3762983166081399</v>
      </c>
      <c r="V4">
        <v>0</v>
      </c>
      <c r="W4">
        <v>18.128894949824399</v>
      </c>
      <c r="X4">
        <f t="shared" si="0"/>
        <v>300000</v>
      </c>
      <c r="Y4">
        <v>50000</v>
      </c>
      <c r="Z4">
        <v>2</v>
      </c>
      <c r="AA4">
        <v>1</v>
      </c>
      <c r="AB4">
        <v>25</v>
      </c>
      <c r="AC4">
        <v>3</v>
      </c>
      <c r="AD4" t="s">
        <v>89</v>
      </c>
      <c r="AE4" t="s">
        <v>5</v>
      </c>
      <c r="AF4">
        <v>11.014753103256201</v>
      </c>
      <c r="AG4">
        <v>3.2985258102416899</v>
      </c>
      <c r="AH4">
        <v>14.3132789134979</v>
      </c>
    </row>
    <row r="5" spans="1:34" x14ac:dyDescent="0.2">
      <c r="A5" t="s">
        <v>239</v>
      </c>
      <c r="B5">
        <v>10</v>
      </c>
      <c r="C5">
        <v>10</v>
      </c>
      <c r="D5">
        <v>20</v>
      </c>
      <c r="E5">
        <v>30</v>
      </c>
      <c r="F5">
        <v>3</v>
      </c>
      <c r="G5">
        <v>829</v>
      </c>
      <c r="H5">
        <v>15</v>
      </c>
      <c r="I5">
        <v>120</v>
      </c>
      <c r="J5">
        <v>135</v>
      </c>
      <c r="K5">
        <v>16</v>
      </c>
      <c r="L5">
        <v>105000</v>
      </c>
      <c r="M5">
        <v>2250000</v>
      </c>
      <c r="N5">
        <v>0</v>
      </c>
      <c r="O5">
        <v>10</v>
      </c>
      <c r="P5">
        <v>6.1228968146935996</v>
      </c>
      <c r="Q5">
        <v>0</v>
      </c>
      <c r="R5">
        <v>550000</v>
      </c>
      <c r="S5">
        <v>6.1228968146935996</v>
      </c>
      <c r="T5">
        <v>0</v>
      </c>
      <c r="U5">
        <v>6.1228968146935996</v>
      </c>
      <c r="V5">
        <v>0</v>
      </c>
      <c r="W5">
        <v>17.118690444080801</v>
      </c>
      <c r="X5">
        <f t="shared" si="0"/>
        <v>450000</v>
      </c>
      <c r="Y5">
        <v>100000</v>
      </c>
      <c r="Z5">
        <v>3</v>
      </c>
      <c r="AA5">
        <v>2</v>
      </c>
      <c r="AB5">
        <v>24</v>
      </c>
      <c r="AC5">
        <v>3</v>
      </c>
      <c r="AD5" t="s">
        <v>90</v>
      </c>
      <c r="AE5" t="s">
        <v>3</v>
      </c>
      <c r="AF5">
        <v>10.441143989562899</v>
      </c>
      <c r="AG5">
        <v>3.3332419395446702</v>
      </c>
      <c r="AH5">
        <v>13.7743859291076</v>
      </c>
    </row>
    <row r="6" spans="1:34" x14ac:dyDescent="0.2">
      <c r="A6" t="s">
        <v>240</v>
      </c>
      <c r="B6">
        <v>10</v>
      </c>
      <c r="C6">
        <v>10</v>
      </c>
      <c r="D6">
        <v>20</v>
      </c>
      <c r="E6">
        <v>30</v>
      </c>
      <c r="F6">
        <v>3</v>
      </c>
      <c r="G6">
        <v>844</v>
      </c>
      <c r="H6">
        <v>14</v>
      </c>
      <c r="I6">
        <v>120</v>
      </c>
      <c r="J6">
        <v>134</v>
      </c>
      <c r="K6">
        <v>21</v>
      </c>
      <c r="L6">
        <v>105000</v>
      </c>
      <c r="M6">
        <v>2250000</v>
      </c>
      <c r="N6">
        <v>3</v>
      </c>
      <c r="O6">
        <v>7</v>
      </c>
      <c r="P6">
        <v>11.8335770772805</v>
      </c>
      <c r="Q6">
        <v>0</v>
      </c>
      <c r="R6">
        <v>550000</v>
      </c>
      <c r="S6">
        <v>11.8335770772805</v>
      </c>
      <c r="T6">
        <v>0</v>
      </c>
      <c r="U6">
        <v>11.8335770772805</v>
      </c>
      <c r="V6">
        <v>0</v>
      </c>
      <c r="W6">
        <v>33.500731231841598</v>
      </c>
      <c r="X6">
        <f t="shared" si="0"/>
        <v>450000</v>
      </c>
      <c r="Y6">
        <v>100000</v>
      </c>
      <c r="Z6">
        <v>3</v>
      </c>
      <c r="AA6">
        <v>2</v>
      </c>
      <c r="AB6">
        <v>37</v>
      </c>
      <c r="AC6">
        <v>8</v>
      </c>
      <c r="AD6" t="s">
        <v>91</v>
      </c>
      <c r="AE6" t="s">
        <v>3</v>
      </c>
      <c r="AF6">
        <v>10.617235898971501</v>
      </c>
      <c r="AG6">
        <v>4.52130103111267</v>
      </c>
      <c r="AH6">
        <v>15.1385369300842</v>
      </c>
    </row>
    <row r="7" spans="1:34" x14ac:dyDescent="0.2">
      <c r="A7" t="s">
        <v>241</v>
      </c>
      <c r="B7">
        <v>10</v>
      </c>
      <c r="C7">
        <v>10</v>
      </c>
      <c r="D7">
        <v>20</v>
      </c>
      <c r="E7">
        <v>30</v>
      </c>
      <c r="F7">
        <v>3</v>
      </c>
      <c r="G7">
        <v>759</v>
      </c>
      <c r="H7">
        <v>18</v>
      </c>
      <c r="I7">
        <v>120</v>
      </c>
      <c r="J7">
        <v>138</v>
      </c>
      <c r="K7">
        <v>20</v>
      </c>
      <c r="L7">
        <v>105000</v>
      </c>
      <c r="M7">
        <v>2250000</v>
      </c>
      <c r="N7">
        <v>0</v>
      </c>
      <c r="O7">
        <v>10</v>
      </c>
      <c r="P7">
        <v>11.5563138364442</v>
      </c>
      <c r="Q7">
        <v>0</v>
      </c>
      <c r="R7">
        <v>850000</v>
      </c>
      <c r="S7">
        <v>11.5563138364442</v>
      </c>
      <c r="T7">
        <v>0</v>
      </c>
      <c r="U7">
        <v>11.5563138364442</v>
      </c>
      <c r="V7">
        <v>0</v>
      </c>
      <c r="W7">
        <v>31.668941509332601</v>
      </c>
      <c r="X7">
        <f t="shared" si="0"/>
        <v>750000</v>
      </c>
      <c r="Y7">
        <v>100000</v>
      </c>
      <c r="Z7">
        <v>5</v>
      </c>
      <c r="AA7">
        <v>2</v>
      </c>
      <c r="AB7">
        <v>36</v>
      </c>
      <c r="AC7">
        <v>4</v>
      </c>
      <c r="AD7" t="s">
        <v>92</v>
      </c>
      <c r="AE7" t="s">
        <v>12</v>
      </c>
      <c r="AF7">
        <v>9.5927319526672292</v>
      </c>
      <c r="AG7">
        <v>5.0391590595245299</v>
      </c>
      <c r="AH7">
        <v>14.6318910121917</v>
      </c>
    </row>
    <row r="8" spans="1:34" x14ac:dyDescent="0.2">
      <c r="A8" t="s">
        <v>242</v>
      </c>
      <c r="B8">
        <v>10</v>
      </c>
      <c r="C8">
        <v>10</v>
      </c>
      <c r="D8">
        <v>20</v>
      </c>
      <c r="E8">
        <v>30</v>
      </c>
      <c r="F8">
        <v>3</v>
      </c>
      <c r="G8">
        <v>801</v>
      </c>
      <c r="H8">
        <v>16</v>
      </c>
      <c r="I8">
        <v>120</v>
      </c>
      <c r="J8">
        <v>136</v>
      </c>
      <c r="K8">
        <v>23</v>
      </c>
      <c r="L8">
        <v>105000</v>
      </c>
      <c r="M8">
        <v>2250000</v>
      </c>
      <c r="N8">
        <v>1</v>
      </c>
      <c r="O8">
        <v>9</v>
      </c>
      <c r="P8">
        <v>13.3100256070644</v>
      </c>
      <c r="Q8">
        <v>0</v>
      </c>
      <c r="R8">
        <v>700000</v>
      </c>
      <c r="S8">
        <v>13.3100256070644</v>
      </c>
      <c r="T8">
        <v>0</v>
      </c>
      <c r="U8">
        <v>13.3100256070644</v>
      </c>
      <c r="V8">
        <v>0</v>
      </c>
      <c r="W8">
        <v>36.680076821193197</v>
      </c>
      <c r="X8">
        <f t="shared" si="0"/>
        <v>600000</v>
      </c>
      <c r="Y8">
        <v>100000</v>
      </c>
      <c r="Z8">
        <v>4</v>
      </c>
      <c r="AA8">
        <v>2</v>
      </c>
      <c r="AB8">
        <v>44</v>
      </c>
      <c r="AC8">
        <v>8</v>
      </c>
      <c r="AD8" t="s">
        <v>93</v>
      </c>
      <c r="AE8" t="s">
        <v>1</v>
      </c>
      <c r="AF8">
        <v>10.328311920166</v>
      </c>
      <c r="AG8">
        <v>3.6347160339355402</v>
      </c>
      <c r="AH8">
        <v>13.9630279541015</v>
      </c>
    </row>
    <row r="9" spans="1:34" x14ac:dyDescent="0.2">
      <c r="A9" t="s">
        <v>243</v>
      </c>
      <c r="B9">
        <v>10</v>
      </c>
      <c r="C9">
        <v>10</v>
      </c>
      <c r="D9">
        <v>20</v>
      </c>
      <c r="E9">
        <v>30</v>
      </c>
      <c r="F9">
        <v>3</v>
      </c>
      <c r="G9">
        <v>793</v>
      </c>
      <c r="H9">
        <v>15</v>
      </c>
      <c r="I9">
        <v>120</v>
      </c>
      <c r="J9">
        <v>135</v>
      </c>
      <c r="K9">
        <v>19</v>
      </c>
      <c r="L9">
        <v>105000</v>
      </c>
      <c r="M9">
        <v>2250000</v>
      </c>
      <c r="N9">
        <v>1</v>
      </c>
      <c r="O9">
        <v>9</v>
      </c>
      <c r="P9">
        <v>10.3845350143391</v>
      </c>
      <c r="Q9">
        <v>0</v>
      </c>
      <c r="R9">
        <v>700000</v>
      </c>
      <c r="S9">
        <v>10.3845350143391</v>
      </c>
      <c r="T9">
        <v>0</v>
      </c>
      <c r="U9">
        <v>10.3845350143391</v>
      </c>
      <c r="V9">
        <v>0</v>
      </c>
      <c r="W9">
        <v>29.403605043017301</v>
      </c>
      <c r="X9">
        <f t="shared" si="0"/>
        <v>600000</v>
      </c>
      <c r="Y9">
        <v>100000</v>
      </c>
      <c r="Z9">
        <v>4</v>
      </c>
      <c r="AA9">
        <v>2</v>
      </c>
      <c r="AB9">
        <v>31</v>
      </c>
      <c r="AC9">
        <v>5</v>
      </c>
      <c r="AD9" t="s">
        <v>94</v>
      </c>
      <c r="AE9" t="s">
        <v>1</v>
      </c>
      <c r="AF9">
        <v>10.0074870586395</v>
      </c>
      <c r="AG9">
        <v>3.2607560157775799</v>
      </c>
      <c r="AH9">
        <v>13.2682430744171</v>
      </c>
    </row>
    <row r="10" spans="1:34" x14ac:dyDescent="0.2">
      <c r="A10" t="s">
        <v>244</v>
      </c>
      <c r="B10">
        <v>10</v>
      </c>
      <c r="C10">
        <v>10</v>
      </c>
      <c r="D10">
        <v>20</v>
      </c>
      <c r="E10">
        <v>30</v>
      </c>
      <c r="F10">
        <v>3</v>
      </c>
      <c r="G10">
        <v>855</v>
      </c>
      <c r="H10">
        <v>15</v>
      </c>
      <c r="I10">
        <v>120</v>
      </c>
      <c r="J10">
        <v>135</v>
      </c>
      <c r="K10">
        <v>22</v>
      </c>
      <c r="L10">
        <v>105000</v>
      </c>
      <c r="M10">
        <v>2250000</v>
      </c>
      <c r="N10">
        <v>3</v>
      </c>
      <c r="O10">
        <v>7</v>
      </c>
      <c r="P10">
        <v>8.1944445910219308</v>
      </c>
      <c r="Q10">
        <v>0</v>
      </c>
      <c r="R10">
        <v>550000</v>
      </c>
      <c r="S10">
        <v>8.1944445910219308</v>
      </c>
      <c r="T10">
        <v>0</v>
      </c>
      <c r="U10">
        <v>8.1944445910219308</v>
      </c>
      <c r="V10">
        <v>0</v>
      </c>
      <c r="W10">
        <v>23.3333337730657</v>
      </c>
      <c r="X10">
        <f t="shared" si="0"/>
        <v>450000</v>
      </c>
      <c r="Y10">
        <v>100000</v>
      </c>
      <c r="Z10">
        <v>3</v>
      </c>
      <c r="AA10">
        <v>2</v>
      </c>
      <c r="AB10">
        <v>35</v>
      </c>
      <c r="AC10">
        <v>8</v>
      </c>
      <c r="AD10" t="s">
        <v>95</v>
      </c>
      <c r="AE10" t="s">
        <v>3</v>
      </c>
      <c r="AF10">
        <v>10.816698074340801</v>
      </c>
      <c r="AG10">
        <v>3.4957127571105899</v>
      </c>
      <c r="AH10">
        <v>14.3124108314514</v>
      </c>
    </row>
    <row r="11" spans="1:34" x14ac:dyDescent="0.2">
      <c r="A11" t="s">
        <v>245</v>
      </c>
      <c r="B11">
        <v>10</v>
      </c>
      <c r="C11">
        <v>10</v>
      </c>
      <c r="D11">
        <v>20</v>
      </c>
      <c r="E11">
        <v>30</v>
      </c>
      <c r="F11">
        <v>3</v>
      </c>
      <c r="G11">
        <v>856</v>
      </c>
      <c r="H11">
        <v>18</v>
      </c>
      <c r="I11">
        <v>120</v>
      </c>
      <c r="J11">
        <v>138</v>
      </c>
      <c r="K11">
        <v>22</v>
      </c>
      <c r="L11">
        <v>105000</v>
      </c>
      <c r="M11">
        <v>2250000</v>
      </c>
      <c r="N11">
        <v>0</v>
      </c>
      <c r="O11">
        <v>10</v>
      </c>
      <c r="P11">
        <v>9.3128370665481004</v>
      </c>
      <c r="Q11">
        <v>0</v>
      </c>
      <c r="R11">
        <v>850000</v>
      </c>
      <c r="S11">
        <v>9.3128370665481004</v>
      </c>
      <c r="T11">
        <v>0</v>
      </c>
      <c r="U11">
        <v>9.3128370665481004</v>
      </c>
      <c r="V11">
        <v>0</v>
      </c>
      <c r="W11">
        <v>27.188511199644299</v>
      </c>
      <c r="X11">
        <f t="shared" si="0"/>
        <v>150000</v>
      </c>
      <c r="Y11">
        <v>100000</v>
      </c>
      <c r="Z11">
        <v>1</v>
      </c>
      <c r="AA11">
        <v>2</v>
      </c>
      <c r="AB11">
        <v>31</v>
      </c>
      <c r="AC11">
        <v>6</v>
      </c>
      <c r="AD11" t="s">
        <v>96</v>
      </c>
      <c r="AE11" t="s">
        <v>1</v>
      </c>
      <c r="AF11">
        <v>11.138522863387999</v>
      </c>
      <c r="AG11">
        <v>5.9777960777282697</v>
      </c>
      <c r="AH11">
        <v>17.116318941116301</v>
      </c>
    </row>
    <row r="12" spans="1:34" x14ac:dyDescent="0.2">
      <c r="A12" t="s">
        <v>246</v>
      </c>
      <c r="B12">
        <v>20</v>
      </c>
      <c r="C12">
        <v>20</v>
      </c>
      <c r="D12">
        <v>40</v>
      </c>
      <c r="E12">
        <v>30</v>
      </c>
      <c r="F12">
        <v>3</v>
      </c>
      <c r="G12">
        <v>1642</v>
      </c>
      <c r="H12">
        <v>28</v>
      </c>
      <c r="I12">
        <v>120</v>
      </c>
      <c r="J12">
        <v>148</v>
      </c>
      <c r="K12">
        <v>39</v>
      </c>
      <c r="L12">
        <v>105000</v>
      </c>
      <c r="M12">
        <v>2250000</v>
      </c>
      <c r="N12">
        <v>2</v>
      </c>
      <c r="O12">
        <v>18</v>
      </c>
      <c r="P12">
        <v>17.7255576921653</v>
      </c>
      <c r="Q12">
        <v>0</v>
      </c>
      <c r="R12">
        <v>700000</v>
      </c>
      <c r="S12">
        <v>17.7255576921653</v>
      </c>
      <c r="T12">
        <v>0</v>
      </c>
      <c r="U12">
        <v>17.7255576921653</v>
      </c>
      <c r="V12">
        <v>0</v>
      </c>
      <c r="W12">
        <v>25.213336538248001</v>
      </c>
      <c r="X12">
        <f t="shared" si="0"/>
        <v>600000</v>
      </c>
      <c r="Y12">
        <v>100000</v>
      </c>
      <c r="Z12">
        <v>4</v>
      </c>
      <c r="AA12">
        <v>2</v>
      </c>
      <c r="AB12">
        <v>63</v>
      </c>
      <c r="AC12">
        <v>13</v>
      </c>
      <c r="AD12" t="s">
        <v>97</v>
      </c>
      <c r="AE12" t="s">
        <v>1</v>
      </c>
      <c r="AF12">
        <v>49.551102876663201</v>
      </c>
      <c r="AG12">
        <v>11.9531209468841</v>
      </c>
      <c r="AH12">
        <v>61.504223823547299</v>
      </c>
    </row>
    <row r="13" spans="1:34" x14ac:dyDescent="0.2">
      <c r="A13" t="s">
        <v>247</v>
      </c>
      <c r="B13">
        <v>20</v>
      </c>
      <c r="C13">
        <v>20</v>
      </c>
      <c r="D13">
        <v>40</v>
      </c>
      <c r="E13">
        <v>30</v>
      </c>
      <c r="F13">
        <v>3</v>
      </c>
      <c r="G13">
        <v>1532</v>
      </c>
      <c r="H13">
        <v>29</v>
      </c>
      <c r="I13">
        <v>120</v>
      </c>
      <c r="J13">
        <v>149</v>
      </c>
      <c r="K13">
        <v>44</v>
      </c>
      <c r="L13">
        <v>105000</v>
      </c>
      <c r="M13">
        <v>2250000</v>
      </c>
      <c r="N13">
        <v>2</v>
      </c>
      <c r="O13">
        <v>18</v>
      </c>
      <c r="P13">
        <v>23.223030025505299</v>
      </c>
      <c r="Q13">
        <v>0</v>
      </c>
      <c r="R13">
        <v>2200000</v>
      </c>
      <c r="S13">
        <v>23.223030025505299</v>
      </c>
      <c r="T13">
        <v>0</v>
      </c>
      <c r="U13">
        <v>23.223030025505299</v>
      </c>
      <c r="V13">
        <v>0</v>
      </c>
      <c r="W13">
        <v>32.207116076591497</v>
      </c>
      <c r="X13">
        <f t="shared" si="0"/>
        <v>1050000</v>
      </c>
      <c r="Y13">
        <v>100000</v>
      </c>
      <c r="Z13">
        <v>7</v>
      </c>
      <c r="AA13">
        <v>2</v>
      </c>
      <c r="AB13">
        <v>82</v>
      </c>
      <c r="AC13">
        <v>18</v>
      </c>
      <c r="AD13" t="s">
        <v>98</v>
      </c>
      <c r="AE13" t="s">
        <v>3</v>
      </c>
      <c r="AF13">
        <v>45.808905839920001</v>
      </c>
      <c r="AG13">
        <v>36.437552213668802</v>
      </c>
      <c r="AH13">
        <v>82.246458053588796</v>
      </c>
    </row>
    <row r="14" spans="1:34" x14ac:dyDescent="0.2">
      <c r="A14" t="s">
        <v>248</v>
      </c>
      <c r="B14">
        <v>20</v>
      </c>
      <c r="C14">
        <v>20</v>
      </c>
      <c r="D14">
        <v>40</v>
      </c>
      <c r="E14">
        <v>30</v>
      </c>
      <c r="F14">
        <v>3</v>
      </c>
      <c r="G14">
        <v>1419</v>
      </c>
      <c r="H14">
        <v>24</v>
      </c>
      <c r="I14">
        <v>120</v>
      </c>
      <c r="J14">
        <v>144</v>
      </c>
      <c r="K14">
        <v>41</v>
      </c>
      <c r="L14">
        <v>105000</v>
      </c>
      <c r="M14">
        <v>2250000</v>
      </c>
      <c r="N14">
        <v>4</v>
      </c>
      <c r="O14">
        <v>16</v>
      </c>
      <c r="P14">
        <v>21.883621559940298</v>
      </c>
      <c r="Q14">
        <v>0</v>
      </c>
      <c r="R14">
        <v>2200000</v>
      </c>
      <c r="S14">
        <v>21.883621559940298</v>
      </c>
      <c r="T14">
        <v>0</v>
      </c>
      <c r="U14">
        <v>21.883621559940298</v>
      </c>
      <c r="V14">
        <v>0</v>
      </c>
      <c r="W14">
        <v>30.9504323399104</v>
      </c>
      <c r="X14">
        <f t="shared" si="0"/>
        <v>900000</v>
      </c>
      <c r="Y14">
        <v>100000</v>
      </c>
      <c r="Z14">
        <v>6</v>
      </c>
      <c r="AA14">
        <v>2</v>
      </c>
      <c r="AB14">
        <v>74</v>
      </c>
      <c r="AC14">
        <v>18</v>
      </c>
      <c r="AD14" t="s">
        <v>99</v>
      </c>
      <c r="AE14" t="s">
        <v>1</v>
      </c>
      <c r="AF14">
        <v>40.198330879211397</v>
      </c>
      <c r="AG14">
        <v>27.287709236145002</v>
      </c>
      <c r="AH14">
        <v>67.486040115356403</v>
      </c>
    </row>
    <row r="15" spans="1:34" x14ac:dyDescent="0.2">
      <c r="A15" t="s">
        <v>249</v>
      </c>
      <c r="B15">
        <v>20</v>
      </c>
      <c r="C15">
        <v>20</v>
      </c>
      <c r="D15">
        <v>40</v>
      </c>
      <c r="E15">
        <v>30</v>
      </c>
      <c r="F15">
        <v>3</v>
      </c>
      <c r="G15">
        <v>1476</v>
      </c>
      <c r="H15">
        <v>33</v>
      </c>
      <c r="I15">
        <v>120</v>
      </c>
      <c r="J15">
        <v>153</v>
      </c>
      <c r="K15">
        <v>40</v>
      </c>
      <c r="L15">
        <v>105000</v>
      </c>
      <c r="M15">
        <v>2250000</v>
      </c>
      <c r="N15">
        <v>1</v>
      </c>
      <c r="O15">
        <v>19</v>
      </c>
      <c r="P15">
        <v>23.43533925393</v>
      </c>
      <c r="Q15">
        <v>0</v>
      </c>
      <c r="R15">
        <v>1150000</v>
      </c>
      <c r="S15">
        <v>23.43533925393</v>
      </c>
      <c r="T15">
        <v>0</v>
      </c>
      <c r="U15">
        <v>23.43533925393</v>
      </c>
      <c r="V15">
        <v>0</v>
      </c>
      <c r="W15">
        <v>32.528008880895001</v>
      </c>
      <c r="X15">
        <f t="shared" si="0"/>
        <v>1050000</v>
      </c>
      <c r="Y15">
        <v>100000</v>
      </c>
      <c r="Z15">
        <v>7</v>
      </c>
      <c r="AA15">
        <v>2</v>
      </c>
      <c r="AB15">
        <v>72</v>
      </c>
      <c r="AC15">
        <v>11</v>
      </c>
      <c r="AD15" t="s">
        <v>100</v>
      </c>
      <c r="AE15" t="s">
        <v>1</v>
      </c>
      <c r="AF15">
        <v>43.748957157135003</v>
      </c>
      <c r="AG15">
        <v>13.7379777431488</v>
      </c>
      <c r="AH15">
        <v>57.486934900283799</v>
      </c>
    </row>
    <row r="16" spans="1:34" x14ac:dyDescent="0.2">
      <c r="A16" t="s">
        <v>250</v>
      </c>
      <c r="B16">
        <v>20</v>
      </c>
      <c r="C16">
        <v>20</v>
      </c>
      <c r="D16">
        <v>40</v>
      </c>
      <c r="E16">
        <v>30</v>
      </c>
      <c r="F16">
        <v>3</v>
      </c>
      <c r="G16">
        <v>1566</v>
      </c>
      <c r="H16">
        <v>34</v>
      </c>
      <c r="I16">
        <v>120</v>
      </c>
      <c r="J16">
        <v>154</v>
      </c>
      <c r="K16">
        <v>42</v>
      </c>
      <c r="L16">
        <v>105000</v>
      </c>
      <c r="M16">
        <v>2250000</v>
      </c>
      <c r="N16">
        <v>5</v>
      </c>
      <c r="O16">
        <v>15</v>
      </c>
      <c r="P16">
        <v>22.3571867937866</v>
      </c>
      <c r="Q16">
        <v>0</v>
      </c>
      <c r="R16">
        <v>1600000</v>
      </c>
      <c r="S16">
        <v>22.3571867937866</v>
      </c>
      <c r="T16">
        <v>0</v>
      </c>
      <c r="U16">
        <v>22.3571867937866</v>
      </c>
      <c r="V16">
        <v>0</v>
      </c>
      <c r="W16">
        <v>31.535780190679901</v>
      </c>
      <c r="X16">
        <f t="shared" si="0"/>
        <v>750000</v>
      </c>
      <c r="Y16">
        <v>100000</v>
      </c>
      <c r="Z16">
        <v>5</v>
      </c>
      <c r="AA16">
        <v>2</v>
      </c>
      <c r="AB16">
        <v>69</v>
      </c>
      <c r="AC16">
        <v>11</v>
      </c>
      <c r="AD16" t="s">
        <v>101</v>
      </c>
      <c r="AE16" t="s">
        <v>1</v>
      </c>
      <c r="AF16">
        <v>47.645012140273998</v>
      </c>
      <c r="AG16">
        <v>23.752976894378602</v>
      </c>
      <c r="AH16">
        <v>71.397989034652696</v>
      </c>
    </row>
    <row r="17" spans="1:34" x14ac:dyDescent="0.2">
      <c r="A17" t="s">
        <v>251</v>
      </c>
      <c r="B17">
        <v>20</v>
      </c>
      <c r="C17">
        <v>20</v>
      </c>
      <c r="D17">
        <v>40</v>
      </c>
      <c r="E17">
        <v>30</v>
      </c>
      <c r="F17">
        <v>3</v>
      </c>
      <c r="G17">
        <v>1440</v>
      </c>
      <c r="H17">
        <v>35</v>
      </c>
      <c r="I17">
        <v>120</v>
      </c>
      <c r="J17">
        <v>155</v>
      </c>
      <c r="K17">
        <v>37</v>
      </c>
      <c r="L17">
        <v>105000</v>
      </c>
      <c r="M17">
        <v>2250000</v>
      </c>
      <c r="N17">
        <v>0</v>
      </c>
      <c r="O17">
        <v>20</v>
      </c>
      <c r="P17">
        <v>19.243079210271201</v>
      </c>
      <c r="Q17">
        <v>0</v>
      </c>
      <c r="R17">
        <v>850000</v>
      </c>
      <c r="S17">
        <v>19.243079210271201</v>
      </c>
      <c r="T17">
        <v>0</v>
      </c>
      <c r="U17">
        <v>19.243079210271201</v>
      </c>
      <c r="V17">
        <v>0</v>
      </c>
      <c r="W17">
        <v>26.7396188154068</v>
      </c>
      <c r="X17">
        <f t="shared" si="0"/>
        <v>750000</v>
      </c>
      <c r="Y17">
        <v>100000</v>
      </c>
      <c r="Z17">
        <v>5</v>
      </c>
      <c r="AA17">
        <v>2</v>
      </c>
      <c r="AB17">
        <v>60</v>
      </c>
      <c r="AC17">
        <v>6</v>
      </c>
      <c r="AD17" t="s">
        <v>102</v>
      </c>
      <c r="AE17" t="s">
        <v>1</v>
      </c>
      <c r="AF17">
        <v>43.0557732582092</v>
      </c>
      <c r="AG17">
        <v>18.111796140670702</v>
      </c>
      <c r="AH17">
        <v>61.167569398879998</v>
      </c>
    </row>
    <row r="18" spans="1:34" x14ac:dyDescent="0.2">
      <c r="A18" t="s">
        <v>252</v>
      </c>
      <c r="B18">
        <v>20</v>
      </c>
      <c r="C18">
        <v>20</v>
      </c>
      <c r="D18">
        <v>40</v>
      </c>
      <c r="E18">
        <v>30</v>
      </c>
      <c r="F18">
        <v>3</v>
      </c>
      <c r="G18">
        <v>1557</v>
      </c>
      <c r="H18">
        <v>28</v>
      </c>
      <c r="I18">
        <v>120</v>
      </c>
      <c r="J18">
        <v>148</v>
      </c>
      <c r="K18">
        <v>40</v>
      </c>
      <c r="L18">
        <v>105000</v>
      </c>
      <c r="M18">
        <v>2250000</v>
      </c>
      <c r="N18">
        <v>6</v>
      </c>
      <c r="O18">
        <v>14</v>
      </c>
      <c r="P18">
        <v>21.419621230922999</v>
      </c>
      <c r="Q18">
        <v>0</v>
      </c>
      <c r="R18">
        <v>1000000</v>
      </c>
      <c r="S18">
        <v>21.419621230922999</v>
      </c>
      <c r="T18">
        <v>0</v>
      </c>
      <c r="U18">
        <v>21.419621230922999</v>
      </c>
      <c r="V18">
        <v>0</v>
      </c>
      <c r="W18">
        <v>29.752002884718198</v>
      </c>
      <c r="X18">
        <f t="shared" si="0"/>
        <v>900000</v>
      </c>
      <c r="Y18">
        <v>100000</v>
      </c>
      <c r="Z18">
        <v>6</v>
      </c>
      <c r="AA18">
        <v>2</v>
      </c>
      <c r="AB18">
        <v>75</v>
      </c>
      <c r="AC18">
        <v>17</v>
      </c>
      <c r="AD18" t="s">
        <v>103</v>
      </c>
      <c r="AE18" t="s">
        <v>3</v>
      </c>
      <c r="AF18">
        <v>46.391394138336103</v>
      </c>
      <c r="AG18">
        <v>29.880862951278601</v>
      </c>
      <c r="AH18">
        <v>76.272257089614797</v>
      </c>
    </row>
    <row r="19" spans="1:34" x14ac:dyDescent="0.2">
      <c r="A19" t="s">
        <v>253</v>
      </c>
      <c r="B19">
        <v>20</v>
      </c>
      <c r="C19">
        <v>20</v>
      </c>
      <c r="D19">
        <v>40</v>
      </c>
      <c r="E19">
        <v>30</v>
      </c>
      <c r="F19">
        <v>3</v>
      </c>
      <c r="G19">
        <v>1577</v>
      </c>
      <c r="H19">
        <v>25</v>
      </c>
      <c r="I19">
        <v>120</v>
      </c>
      <c r="J19">
        <v>145</v>
      </c>
      <c r="K19">
        <v>37</v>
      </c>
      <c r="L19">
        <v>105000</v>
      </c>
      <c r="M19">
        <v>2250000</v>
      </c>
      <c r="N19">
        <v>1</v>
      </c>
      <c r="O19">
        <v>19</v>
      </c>
      <c r="P19">
        <v>22.162198908187801</v>
      </c>
      <c r="Q19">
        <v>0</v>
      </c>
      <c r="R19">
        <v>1000000</v>
      </c>
      <c r="S19">
        <v>22.162198908187801</v>
      </c>
      <c r="T19">
        <v>0</v>
      </c>
      <c r="U19">
        <v>22.162198908187801</v>
      </c>
      <c r="V19">
        <v>0</v>
      </c>
      <c r="W19">
        <v>30.868298362281699</v>
      </c>
      <c r="X19">
        <f t="shared" si="0"/>
        <v>900000</v>
      </c>
      <c r="Y19">
        <v>100000</v>
      </c>
      <c r="Z19">
        <v>6</v>
      </c>
      <c r="AA19">
        <v>2</v>
      </c>
      <c r="AB19">
        <v>69</v>
      </c>
      <c r="AC19">
        <v>13</v>
      </c>
      <c r="AD19" t="s">
        <v>104</v>
      </c>
      <c r="AE19" t="s">
        <v>1</v>
      </c>
      <c r="AF19">
        <v>45.5163249969482</v>
      </c>
      <c r="AG19">
        <v>23.103228807449302</v>
      </c>
      <c r="AH19">
        <v>68.619553804397498</v>
      </c>
    </row>
    <row r="20" spans="1:34" x14ac:dyDescent="0.2">
      <c r="A20" t="s">
        <v>254</v>
      </c>
      <c r="B20">
        <v>20</v>
      </c>
      <c r="C20">
        <v>20</v>
      </c>
      <c r="D20">
        <v>40</v>
      </c>
      <c r="E20">
        <v>30</v>
      </c>
      <c r="F20">
        <v>3</v>
      </c>
      <c r="G20">
        <v>1595</v>
      </c>
      <c r="H20">
        <v>30</v>
      </c>
      <c r="I20">
        <v>120</v>
      </c>
      <c r="J20">
        <v>150</v>
      </c>
      <c r="K20">
        <v>41</v>
      </c>
      <c r="L20">
        <v>105000</v>
      </c>
      <c r="M20">
        <v>2250000</v>
      </c>
      <c r="N20">
        <v>4</v>
      </c>
      <c r="O20">
        <v>16</v>
      </c>
      <c r="P20">
        <v>20.979596911132901</v>
      </c>
      <c r="Q20">
        <v>0</v>
      </c>
      <c r="R20">
        <v>1300000</v>
      </c>
      <c r="S20">
        <v>20.979596911132901</v>
      </c>
      <c r="T20">
        <v>0</v>
      </c>
      <c r="U20">
        <v>20.979596911132901</v>
      </c>
      <c r="V20">
        <v>0</v>
      </c>
      <c r="W20">
        <v>29.844395366699398</v>
      </c>
      <c r="X20">
        <f t="shared" si="0"/>
        <v>750000</v>
      </c>
      <c r="Y20">
        <v>100000</v>
      </c>
      <c r="Z20">
        <v>5</v>
      </c>
      <c r="AA20">
        <v>2</v>
      </c>
      <c r="AB20">
        <v>69</v>
      </c>
      <c r="AC20">
        <v>15</v>
      </c>
      <c r="AD20" t="s">
        <v>105</v>
      </c>
      <c r="AE20" t="s">
        <v>1</v>
      </c>
      <c r="AF20">
        <v>47.289702177047701</v>
      </c>
      <c r="AG20">
        <v>20.458860874176001</v>
      </c>
      <c r="AH20">
        <v>67.748563051223698</v>
      </c>
    </row>
    <row r="21" spans="1:34" x14ac:dyDescent="0.2">
      <c r="A21" t="s">
        <v>255</v>
      </c>
      <c r="B21">
        <v>20</v>
      </c>
      <c r="C21">
        <v>20</v>
      </c>
      <c r="D21">
        <v>40</v>
      </c>
      <c r="E21">
        <v>30</v>
      </c>
      <c r="F21">
        <v>3</v>
      </c>
      <c r="G21">
        <v>1532</v>
      </c>
      <c r="H21">
        <v>32</v>
      </c>
      <c r="I21">
        <v>120</v>
      </c>
      <c r="J21">
        <v>152</v>
      </c>
      <c r="K21">
        <v>41</v>
      </c>
      <c r="L21">
        <v>105000</v>
      </c>
      <c r="M21">
        <v>2250000</v>
      </c>
      <c r="N21">
        <v>1</v>
      </c>
      <c r="O21">
        <v>19</v>
      </c>
      <c r="P21">
        <v>22.218812096368801</v>
      </c>
      <c r="Q21">
        <v>0</v>
      </c>
      <c r="R21">
        <v>1750000</v>
      </c>
      <c r="S21">
        <v>22.218812096368801</v>
      </c>
      <c r="T21">
        <v>0</v>
      </c>
      <c r="U21">
        <v>22.218812096368801</v>
      </c>
      <c r="V21">
        <v>0</v>
      </c>
      <c r="W21">
        <v>30.703218144553301</v>
      </c>
      <c r="X21">
        <f t="shared" si="0"/>
        <v>750000</v>
      </c>
      <c r="Y21">
        <v>100000</v>
      </c>
      <c r="Z21">
        <v>5</v>
      </c>
      <c r="AA21">
        <v>2</v>
      </c>
      <c r="AB21">
        <v>75</v>
      </c>
      <c r="AC21">
        <v>13</v>
      </c>
      <c r="AD21" t="s">
        <v>106</v>
      </c>
      <c r="AE21" t="s">
        <v>1</v>
      </c>
      <c r="AF21">
        <v>47.1596231460571</v>
      </c>
      <c r="AG21">
        <v>30.8250617980957</v>
      </c>
      <c r="AH21">
        <v>77.984684944152804</v>
      </c>
    </row>
    <row r="22" spans="1:34" x14ac:dyDescent="0.2">
      <c r="A22" t="s">
        <v>256</v>
      </c>
      <c r="B22">
        <v>30</v>
      </c>
      <c r="C22">
        <v>30</v>
      </c>
      <c r="D22">
        <v>60</v>
      </c>
      <c r="E22">
        <v>30</v>
      </c>
      <c r="F22">
        <v>3</v>
      </c>
      <c r="G22">
        <v>2477</v>
      </c>
      <c r="H22">
        <v>49</v>
      </c>
      <c r="I22">
        <v>120</v>
      </c>
      <c r="J22">
        <v>169</v>
      </c>
      <c r="K22">
        <v>54</v>
      </c>
      <c r="L22">
        <v>105000</v>
      </c>
      <c r="M22">
        <v>2250000</v>
      </c>
      <c r="N22">
        <v>5</v>
      </c>
      <c r="O22">
        <v>25</v>
      </c>
      <c r="P22">
        <v>24.170958900429302</v>
      </c>
      <c r="Q22">
        <v>0</v>
      </c>
      <c r="R22">
        <v>1300000</v>
      </c>
      <c r="S22">
        <v>24.170958900429302</v>
      </c>
      <c r="T22">
        <v>0</v>
      </c>
      <c r="U22">
        <v>24.170958900429302</v>
      </c>
      <c r="V22">
        <v>0</v>
      </c>
      <c r="W22">
        <v>22.837625567096001</v>
      </c>
      <c r="X22">
        <f t="shared" si="0"/>
        <v>1050000</v>
      </c>
      <c r="Y22">
        <v>100000</v>
      </c>
      <c r="Z22">
        <v>7</v>
      </c>
      <c r="AA22">
        <v>2</v>
      </c>
      <c r="AB22">
        <v>80</v>
      </c>
      <c r="AC22">
        <v>10</v>
      </c>
      <c r="AD22" t="s">
        <v>107</v>
      </c>
      <c r="AE22" t="s">
        <v>1</v>
      </c>
      <c r="AF22">
        <v>135.55315089225701</v>
      </c>
      <c r="AG22">
        <v>38.167981147766099</v>
      </c>
      <c r="AH22">
        <v>173.72113204002301</v>
      </c>
    </row>
    <row r="23" spans="1:34" x14ac:dyDescent="0.2">
      <c r="A23" t="s">
        <v>257</v>
      </c>
      <c r="B23">
        <v>30</v>
      </c>
      <c r="C23">
        <v>30</v>
      </c>
      <c r="D23">
        <v>60</v>
      </c>
      <c r="E23">
        <v>30</v>
      </c>
      <c r="F23">
        <v>3</v>
      </c>
      <c r="G23">
        <v>2469</v>
      </c>
      <c r="H23">
        <v>47</v>
      </c>
      <c r="I23">
        <v>120</v>
      </c>
      <c r="J23">
        <v>167</v>
      </c>
      <c r="K23">
        <v>54</v>
      </c>
      <c r="L23">
        <v>105000</v>
      </c>
      <c r="M23">
        <v>2250000</v>
      </c>
      <c r="N23">
        <v>2</v>
      </c>
      <c r="O23">
        <v>28</v>
      </c>
      <c r="P23">
        <v>28.174115038064599</v>
      </c>
      <c r="Q23">
        <v>0</v>
      </c>
      <c r="R23">
        <v>1000000</v>
      </c>
      <c r="S23">
        <v>28.174115038064599</v>
      </c>
      <c r="T23">
        <v>0</v>
      </c>
      <c r="U23">
        <v>28.174115038064599</v>
      </c>
      <c r="V23">
        <v>0</v>
      </c>
      <c r="W23">
        <v>26.340781704731199</v>
      </c>
      <c r="X23">
        <f t="shared" si="0"/>
        <v>900000</v>
      </c>
      <c r="Y23">
        <v>100000</v>
      </c>
      <c r="Z23">
        <v>6</v>
      </c>
      <c r="AA23">
        <v>2</v>
      </c>
      <c r="AB23">
        <v>91</v>
      </c>
      <c r="AC23">
        <v>15</v>
      </c>
      <c r="AD23" t="s">
        <v>108</v>
      </c>
      <c r="AE23" t="s">
        <v>1</v>
      </c>
      <c r="AF23">
        <v>124.851977825164</v>
      </c>
      <c r="AG23">
        <v>62.759104013442901</v>
      </c>
      <c r="AH23">
        <v>187.61108183860699</v>
      </c>
    </row>
    <row r="24" spans="1:34" x14ac:dyDescent="0.2">
      <c r="A24" t="s">
        <v>258</v>
      </c>
      <c r="B24">
        <v>30</v>
      </c>
      <c r="C24">
        <v>30</v>
      </c>
      <c r="D24">
        <v>60</v>
      </c>
      <c r="E24">
        <v>30</v>
      </c>
      <c r="F24">
        <v>3</v>
      </c>
      <c r="G24">
        <v>2568</v>
      </c>
      <c r="H24">
        <v>41</v>
      </c>
      <c r="I24">
        <v>120</v>
      </c>
      <c r="J24">
        <v>161</v>
      </c>
      <c r="K24">
        <v>52</v>
      </c>
      <c r="L24">
        <v>105000</v>
      </c>
      <c r="M24">
        <v>2250000</v>
      </c>
      <c r="N24">
        <v>8</v>
      </c>
      <c r="O24">
        <v>22</v>
      </c>
      <c r="P24">
        <v>28.785920280754102</v>
      </c>
      <c r="Q24">
        <v>0</v>
      </c>
      <c r="R24">
        <v>1300000</v>
      </c>
      <c r="S24">
        <v>28.785920280754102</v>
      </c>
      <c r="T24">
        <v>0</v>
      </c>
      <c r="U24">
        <v>28.785920280754102</v>
      </c>
      <c r="V24">
        <v>0</v>
      </c>
      <c r="W24">
        <v>26.952586947420698</v>
      </c>
      <c r="X24">
        <f t="shared" si="0"/>
        <v>1200000</v>
      </c>
      <c r="Y24">
        <v>100000</v>
      </c>
      <c r="Z24">
        <v>8</v>
      </c>
      <c r="AA24">
        <v>2</v>
      </c>
      <c r="AB24">
        <v>90</v>
      </c>
      <c r="AC24">
        <v>16</v>
      </c>
      <c r="AD24" t="s">
        <v>109</v>
      </c>
      <c r="AE24" t="s">
        <v>1</v>
      </c>
      <c r="AF24">
        <v>127.552557945251</v>
      </c>
      <c r="AG24">
        <v>54.779661893844597</v>
      </c>
      <c r="AH24">
        <v>182.33221983909601</v>
      </c>
    </row>
    <row r="25" spans="1:34" x14ac:dyDescent="0.2">
      <c r="A25" t="s">
        <v>259</v>
      </c>
      <c r="B25">
        <v>30</v>
      </c>
      <c r="C25">
        <v>30</v>
      </c>
      <c r="D25">
        <v>60</v>
      </c>
      <c r="E25">
        <v>30</v>
      </c>
      <c r="F25">
        <v>3</v>
      </c>
      <c r="G25">
        <v>2559</v>
      </c>
      <c r="H25">
        <v>44</v>
      </c>
      <c r="I25">
        <v>120</v>
      </c>
      <c r="J25">
        <v>164</v>
      </c>
      <c r="K25">
        <v>68</v>
      </c>
      <c r="L25">
        <v>105000</v>
      </c>
      <c r="M25">
        <v>2250000</v>
      </c>
      <c r="N25">
        <v>1</v>
      </c>
      <c r="O25">
        <v>29</v>
      </c>
      <c r="P25">
        <v>42.354737273464401</v>
      </c>
      <c r="Q25">
        <v>0</v>
      </c>
      <c r="R25">
        <v>1900000</v>
      </c>
      <c r="S25">
        <v>42.354737273464401</v>
      </c>
      <c r="T25">
        <v>0</v>
      </c>
      <c r="U25">
        <v>42.354737273464401</v>
      </c>
      <c r="V25">
        <v>0</v>
      </c>
      <c r="W25">
        <v>39.771403940131002</v>
      </c>
      <c r="X25">
        <f t="shared" si="0"/>
        <v>1200000</v>
      </c>
      <c r="Y25">
        <v>100000</v>
      </c>
      <c r="Z25">
        <v>8</v>
      </c>
      <c r="AA25">
        <v>2</v>
      </c>
      <c r="AB25">
        <v>127</v>
      </c>
      <c r="AC25">
        <v>28</v>
      </c>
      <c r="AD25" t="s">
        <v>110</v>
      </c>
      <c r="AE25" t="s">
        <v>1</v>
      </c>
      <c r="AF25">
        <v>127.286892175674</v>
      </c>
      <c r="AG25">
        <v>75.431526184082003</v>
      </c>
      <c r="AH25">
        <v>202.71841835975599</v>
      </c>
    </row>
    <row r="26" spans="1:34" x14ac:dyDescent="0.2">
      <c r="A26" t="s">
        <v>260</v>
      </c>
      <c r="B26">
        <v>30</v>
      </c>
      <c r="C26">
        <v>30</v>
      </c>
      <c r="D26">
        <v>60</v>
      </c>
      <c r="E26">
        <v>30</v>
      </c>
      <c r="F26">
        <v>3</v>
      </c>
      <c r="G26">
        <v>2423</v>
      </c>
      <c r="H26">
        <v>40</v>
      </c>
      <c r="I26">
        <v>120</v>
      </c>
      <c r="J26">
        <v>160</v>
      </c>
      <c r="K26">
        <v>53</v>
      </c>
      <c r="L26">
        <v>105000</v>
      </c>
      <c r="M26">
        <v>2250000</v>
      </c>
      <c r="N26">
        <v>9</v>
      </c>
      <c r="O26">
        <v>21</v>
      </c>
      <c r="P26">
        <v>30.668838719957101</v>
      </c>
      <c r="Q26">
        <v>0</v>
      </c>
      <c r="R26">
        <v>1450000</v>
      </c>
      <c r="S26">
        <v>30.668838719957101</v>
      </c>
      <c r="T26">
        <v>0</v>
      </c>
      <c r="U26">
        <v>30.668838719957101</v>
      </c>
      <c r="V26">
        <v>0</v>
      </c>
      <c r="W26">
        <v>28.668838719957101</v>
      </c>
      <c r="X26">
        <f t="shared" si="0"/>
        <v>1350000</v>
      </c>
      <c r="Y26">
        <v>100000</v>
      </c>
      <c r="Z26">
        <v>9</v>
      </c>
      <c r="AA26">
        <v>2</v>
      </c>
      <c r="AB26">
        <v>96</v>
      </c>
      <c r="AC26">
        <v>19</v>
      </c>
      <c r="AD26" t="s">
        <v>111</v>
      </c>
      <c r="AE26" t="s">
        <v>1</v>
      </c>
      <c r="AF26">
        <v>116.23481011390599</v>
      </c>
      <c r="AG26">
        <v>53.9560062885284</v>
      </c>
      <c r="AH26">
        <v>170.19081640243499</v>
      </c>
    </row>
    <row r="27" spans="1:34" x14ac:dyDescent="0.2">
      <c r="A27" t="s">
        <v>261</v>
      </c>
      <c r="B27">
        <v>30</v>
      </c>
      <c r="C27">
        <v>30</v>
      </c>
      <c r="D27">
        <v>60</v>
      </c>
      <c r="E27">
        <v>30</v>
      </c>
      <c r="F27">
        <v>3</v>
      </c>
      <c r="G27">
        <v>2759</v>
      </c>
      <c r="H27">
        <v>53</v>
      </c>
      <c r="I27">
        <v>120</v>
      </c>
      <c r="J27">
        <v>173</v>
      </c>
      <c r="K27">
        <v>57</v>
      </c>
      <c r="L27">
        <v>105000</v>
      </c>
      <c r="M27">
        <v>2250000</v>
      </c>
      <c r="N27">
        <v>3</v>
      </c>
      <c r="O27">
        <v>27</v>
      </c>
      <c r="P27">
        <v>21.7491655134518</v>
      </c>
      <c r="Q27">
        <v>0</v>
      </c>
      <c r="R27">
        <v>400000.9797198</v>
      </c>
      <c r="S27">
        <v>21.7491655134518</v>
      </c>
      <c r="T27">
        <v>0</v>
      </c>
      <c r="U27">
        <v>21.7491655134518</v>
      </c>
      <c r="V27">
        <v>0</v>
      </c>
      <c r="W27">
        <v>21.2491655134518</v>
      </c>
      <c r="X27">
        <f t="shared" si="0"/>
        <v>600000</v>
      </c>
      <c r="Y27">
        <v>100000</v>
      </c>
      <c r="Z27">
        <v>4</v>
      </c>
      <c r="AA27">
        <v>2</v>
      </c>
      <c r="AB27">
        <v>77</v>
      </c>
      <c r="AC27">
        <v>14</v>
      </c>
      <c r="AD27" t="s">
        <v>112</v>
      </c>
      <c r="AE27" t="s">
        <v>3</v>
      </c>
      <c r="AF27">
        <v>145.68524909019399</v>
      </c>
      <c r="AG27">
        <v>25.316016912460299</v>
      </c>
      <c r="AH27">
        <v>171.001266002655</v>
      </c>
    </row>
    <row r="28" spans="1:34" x14ac:dyDescent="0.2">
      <c r="A28" t="s">
        <v>262</v>
      </c>
      <c r="B28">
        <v>30</v>
      </c>
      <c r="C28">
        <v>30</v>
      </c>
      <c r="D28">
        <v>60</v>
      </c>
      <c r="E28">
        <v>30</v>
      </c>
      <c r="F28">
        <v>3</v>
      </c>
      <c r="G28">
        <v>2646</v>
      </c>
      <c r="H28">
        <v>50</v>
      </c>
      <c r="I28">
        <v>120</v>
      </c>
      <c r="J28">
        <v>170</v>
      </c>
      <c r="K28">
        <v>63</v>
      </c>
      <c r="L28">
        <v>105000</v>
      </c>
      <c r="M28">
        <v>2250000</v>
      </c>
      <c r="N28">
        <v>4</v>
      </c>
      <c r="O28">
        <v>26</v>
      </c>
      <c r="P28">
        <v>30.043915146355499</v>
      </c>
      <c r="Q28">
        <v>0</v>
      </c>
      <c r="R28">
        <v>850000</v>
      </c>
      <c r="S28">
        <v>30.043915146355499</v>
      </c>
      <c r="T28">
        <v>0</v>
      </c>
      <c r="U28">
        <v>30.043915146355499</v>
      </c>
      <c r="V28">
        <v>0</v>
      </c>
      <c r="W28">
        <v>28.043915146355602</v>
      </c>
      <c r="X28">
        <f t="shared" si="0"/>
        <v>750000</v>
      </c>
      <c r="Y28">
        <v>100000</v>
      </c>
      <c r="Z28">
        <v>5</v>
      </c>
      <c r="AA28">
        <v>2</v>
      </c>
      <c r="AB28">
        <v>107</v>
      </c>
      <c r="AC28">
        <v>20</v>
      </c>
      <c r="AD28" t="s">
        <v>113</v>
      </c>
      <c r="AE28" t="s">
        <v>1</v>
      </c>
      <c r="AF28">
        <v>135.87075805664</v>
      </c>
      <c r="AG28">
        <v>50.742400884628204</v>
      </c>
      <c r="AH28">
        <v>186.61315894126801</v>
      </c>
    </row>
    <row r="29" spans="1:34" x14ac:dyDescent="0.2">
      <c r="A29" t="s">
        <v>263</v>
      </c>
      <c r="B29">
        <v>30</v>
      </c>
      <c r="C29">
        <v>30</v>
      </c>
      <c r="D29">
        <v>60</v>
      </c>
      <c r="E29">
        <v>30</v>
      </c>
      <c r="F29">
        <v>3</v>
      </c>
      <c r="G29">
        <v>2321</v>
      </c>
      <c r="H29">
        <v>41</v>
      </c>
      <c r="I29">
        <v>120</v>
      </c>
      <c r="J29">
        <v>161</v>
      </c>
      <c r="K29">
        <v>66</v>
      </c>
      <c r="L29">
        <v>105000</v>
      </c>
      <c r="M29">
        <v>2250000</v>
      </c>
      <c r="N29">
        <v>2</v>
      </c>
      <c r="O29">
        <v>28</v>
      </c>
      <c r="P29">
        <v>39.165988623385701</v>
      </c>
      <c r="Q29">
        <v>0</v>
      </c>
      <c r="R29">
        <v>1450000</v>
      </c>
      <c r="S29">
        <v>39.1659886233858</v>
      </c>
      <c r="T29">
        <v>0</v>
      </c>
      <c r="U29">
        <v>39.1659886233858</v>
      </c>
      <c r="V29">
        <v>0</v>
      </c>
      <c r="W29">
        <v>36.999321956719101</v>
      </c>
      <c r="X29">
        <f t="shared" si="0"/>
        <v>1350000</v>
      </c>
      <c r="Y29">
        <v>100000</v>
      </c>
      <c r="Z29">
        <v>9</v>
      </c>
      <c r="AA29">
        <v>2</v>
      </c>
      <c r="AB29">
        <v>118</v>
      </c>
      <c r="AC29">
        <v>26</v>
      </c>
      <c r="AD29" t="s">
        <v>114</v>
      </c>
      <c r="AE29" t="s">
        <v>1</v>
      </c>
      <c r="AF29">
        <v>119.642781972885</v>
      </c>
      <c r="AG29">
        <v>80.526319980621295</v>
      </c>
      <c r="AH29">
        <v>200.16910195350599</v>
      </c>
    </row>
    <row r="30" spans="1:34" x14ac:dyDescent="0.2">
      <c r="A30" t="s">
        <v>264</v>
      </c>
      <c r="B30">
        <v>30</v>
      </c>
      <c r="C30">
        <v>30</v>
      </c>
      <c r="D30">
        <v>60</v>
      </c>
      <c r="E30">
        <v>30</v>
      </c>
      <c r="F30">
        <v>3</v>
      </c>
      <c r="G30">
        <v>2522</v>
      </c>
      <c r="H30">
        <v>46</v>
      </c>
      <c r="I30">
        <v>120</v>
      </c>
      <c r="J30">
        <v>166</v>
      </c>
      <c r="K30">
        <v>60</v>
      </c>
      <c r="L30">
        <v>105000</v>
      </c>
      <c r="M30">
        <v>2250000</v>
      </c>
      <c r="N30">
        <v>6</v>
      </c>
      <c r="O30">
        <v>24</v>
      </c>
      <c r="P30">
        <v>36.072375318939301</v>
      </c>
      <c r="Q30">
        <v>0</v>
      </c>
      <c r="R30">
        <v>1450000</v>
      </c>
      <c r="S30">
        <v>36.072375318939301</v>
      </c>
      <c r="T30">
        <v>0</v>
      </c>
      <c r="U30">
        <v>36.072375318939301</v>
      </c>
      <c r="V30">
        <v>0</v>
      </c>
      <c r="W30">
        <v>33.2033051943407</v>
      </c>
      <c r="X30">
        <f t="shared" si="0"/>
        <v>1350000</v>
      </c>
      <c r="Y30">
        <v>100000</v>
      </c>
      <c r="Z30">
        <v>9</v>
      </c>
      <c r="AA30">
        <v>2</v>
      </c>
      <c r="AB30">
        <v>113</v>
      </c>
      <c r="AC30">
        <v>21</v>
      </c>
      <c r="AD30" t="s">
        <v>115</v>
      </c>
      <c r="AE30" t="s">
        <v>3</v>
      </c>
      <c r="AF30">
        <v>128.41900897025999</v>
      </c>
      <c r="AG30">
        <v>91.240597009658799</v>
      </c>
      <c r="AH30">
        <v>219.65960597991901</v>
      </c>
    </row>
    <row r="31" spans="1:34" x14ac:dyDescent="0.2">
      <c r="A31" t="s">
        <v>265</v>
      </c>
      <c r="B31">
        <v>30</v>
      </c>
      <c r="C31">
        <v>30</v>
      </c>
      <c r="D31">
        <v>60</v>
      </c>
      <c r="E31">
        <v>30</v>
      </c>
      <c r="F31">
        <v>3</v>
      </c>
      <c r="G31">
        <v>2620</v>
      </c>
      <c r="H31">
        <v>47</v>
      </c>
      <c r="I31">
        <v>120</v>
      </c>
      <c r="J31">
        <v>167</v>
      </c>
      <c r="K31">
        <v>57</v>
      </c>
      <c r="L31">
        <v>105000</v>
      </c>
      <c r="M31">
        <v>2250000</v>
      </c>
      <c r="N31">
        <v>0</v>
      </c>
      <c r="O31">
        <v>30</v>
      </c>
      <c r="P31">
        <v>29.3249322828351</v>
      </c>
      <c r="Q31">
        <v>0</v>
      </c>
      <c r="R31">
        <v>1000000</v>
      </c>
      <c r="S31">
        <v>29.3249322828351</v>
      </c>
      <c r="T31">
        <v>0</v>
      </c>
      <c r="U31">
        <v>29.3249322828351</v>
      </c>
      <c r="V31">
        <v>0</v>
      </c>
      <c r="W31">
        <v>27.5749322828351</v>
      </c>
      <c r="X31">
        <f t="shared" si="0"/>
        <v>900000</v>
      </c>
      <c r="Y31">
        <v>100000</v>
      </c>
      <c r="Z31">
        <v>6</v>
      </c>
      <c r="AA31">
        <v>2</v>
      </c>
      <c r="AB31">
        <v>94</v>
      </c>
      <c r="AC31">
        <v>16</v>
      </c>
      <c r="AD31" t="s">
        <v>116</v>
      </c>
      <c r="AE31" t="s">
        <v>12</v>
      </c>
      <c r="AF31">
        <v>149.09153819084099</v>
      </c>
      <c r="AG31">
        <v>63.388777256011899</v>
      </c>
      <c r="AH31">
        <v>212.48031544685301</v>
      </c>
    </row>
    <row r="32" spans="1:34" x14ac:dyDescent="0.2">
      <c r="A32" t="s">
        <v>266</v>
      </c>
      <c r="B32">
        <v>40</v>
      </c>
      <c r="C32">
        <v>40</v>
      </c>
      <c r="D32">
        <v>80</v>
      </c>
      <c r="E32">
        <v>30</v>
      </c>
      <c r="F32">
        <v>3</v>
      </c>
      <c r="G32">
        <v>3880</v>
      </c>
      <c r="H32">
        <v>60</v>
      </c>
      <c r="I32">
        <v>120</v>
      </c>
      <c r="J32">
        <v>180</v>
      </c>
      <c r="K32">
        <v>64</v>
      </c>
      <c r="L32">
        <v>105000</v>
      </c>
      <c r="M32">
        <v>2250000</v>
      </c>
      <c r="N32">
        <v>12</v>
      </c>
      <c r="O32">
        <v>28</v>
      </c>
      <c r="P32">
        <v>33.4651381074003</v>
      </c>
      <c r="Q32">
        <v>0</v>
      </c>
      <c r="R32">
        <v>2350000</v>
      </c>
      <c r="S32">
        <v>33.4651381074003</v>
      </c>
      <c r="T32">
        <v>0</v>
      </c>
      <c r="U32">
        <v>33.4651381074003</v>
      </c>
      <c r="V32">
        <v>0</v>
      </c>
      <c r="W32">
        <v>23.723853580550202</v>
      </c>
      <c r="X32">
        <f t="shared" si="0"/>
        <v>1200000</v>
      </c>
      <c r="Y32">
        <v>100000</v>
      </c>
      <c r="Z32">
        <v>8</v>
      </c>
      <c r="AA32">
        <v>2</v>
      </c>
      <c r="AB32">
        <v>102</v>
      </c>
      <c r="AC32">
        <v>16</v>
      </c>
      <c r="AD32" t="s">
        <v>117</v>
      </c>
      <c r="AE32" t="s">
        <v>1</v>
      </c>
      <c r="AF32">
        <v>449.83629179000798</v>
      </c>
      <c r="AG32">
        <v>98.252974033355699</v>
      </c>
      <c r="AH32">
        <v>548.08926582336403</v>
      </c>
    </row>
    <row r="33" spans="1:34" x14ac:dyDescent="0.2">
      <c r="A33" t="s">
        <v>267</v>
      </c>
      <c r="B33">
        <v>40</v>
      </c>
      <c r="C33">
        <v>40</v>
      </c>
      <c r="D33">
        <v>80</v>
      </c>
      <c r="E33">
        <v>30</v>
      </c>
      <c r="F33">
        <v>3</v>
      </c>
      <c r="G33">
        <v>3740</v>
      </c>
      <c r="H33">
        <v>68</v>
      </c>
      <c r="I33">
        <v>120</v>
      </c>
      <c r="J33">
        <v>188</v>
      </c>
      <c r="K33">
        <v>83</v>
      </c>
      <c r="L33">
        <v>105000</v>
      </c>
      <c r="M33">
        <v>2250000</v>
      </c>
      <c r="N33">
        <v>0</v>
      </c>
      <c r="O33">
        <v>40</v>
      </c>
      <c r="P33">
        <v>45.726008790425603</v>
      </c>
      <c r="Q33">
        <v>0</v>
      </c>
      <c r="R33">
        <v>1150000</v>
      </c>
      <c r="S33">
        <v>45.726008790425603</v>
      </c>
      <c r="T33">
        <v>0</v>
      </c>
      <c r="U33">
        <v>45.726008790425603</v>
      </c>
      <c r="V33">
        <v>0</v>
      </c>
      <c r="W33">
        <v>32.232006592819197</v>
      </c>
      <c r="X33">
        <f t="shared" si="0"/>
        <v>1050000</v>
      </c>
      <c r="Y33">
        <v>100000</v>
      </c>
      <c r="Z33">
        <v>7</v>
      </c>
      <c r="AA33">
        <v>2</v>
      </c>
      <c r="AB33">
        <v>138</v>
      </c>
      <c r="AC33">
        <v>22</v>
      </c>
      <c r="AD33" t="s">
        <v>118</v>
      </c>
      <c r="AE33" t="s">
        <v>1</v>
      </c>
      <c r="AF33">
        <v>426.20470571517899</v>
      </c>
      <c r="AG33">
        <v>113.604616403579</v>
      </c>
      <c r="AH33">
        <v>539.80932211875904</v>
      </c>
    </row>
    <row r="34" spans="1:34" x14ac:dyDescent="0.2">
      <c r="A34" t="s">
        <v>268</v>
      </c>
      <c r="B34">
        <v>40</v>
      </c>
      <c r="C34">
        <v>40</v>
      </c>
      <c r="D34">
        <v>80</v>
      </c>
      <c r="E34">
        <v>30</v>
      </c>
      <c r="F34">
        <v>3</v>
      </c>
      <c r="G34">
        <v>4268</v>
      </c>
      <c r="H34">
        <v>58</v>
      </c>
      <c r="I34">
        <v>120</v>
      </c>
      <c r="J34">
        <v>178</v>
      </c>
      <c r="K34">
        <v>78</v>
      </c>
      <c r="L34">
        <v>105000</v>
      </c>
      <c r="M34">
        <v>2250000</v>
      </c>
      <c r="N34">
        <v>6</v>
      </c>
      <c r="O34">
        <v>34</v>
      </c>
      <c r="P34">
        <v>34.744323996596101</v>
      </c>
      <c r="Q34">
        <v>0</v>
      </c>
      <c r="R34">
        <v>1300000</v>
      </c>
      <c r="S34">
        <v>34.744323996596101</v>
      </c>
      <c r="T34">
        <v>0</v>
      </c>
      <c r="U34">
        <v>34.744323996596101</v>
      </c>
      <c r="V34">
        <v>0</v>
      </c>
      <c r="W34">
        <v>24.683242997447099</v>
      </c>
      <c r="X34">
        <f t="shared" si="0"/>
        <v>1200000</v>
      </c>
      <c r="Y34">
        <v>100000</v>
      </c>
      <c r="Z34">
        <v>8</v>
      </c>
      <c r="AA34">
        <v>2</v>
      </c>
      <c r="AB34">
        <v>127</v>
      </c>
      <c r="AC34">
        <v>27</v>
      </c>
      <c r="AD34" t="s">
        <v>119</v>
      </c>
      <c r="AE34" t="s">
        <v>3</v>
      </c>
      <c r="AF34">
        <v>502.795662164688</v>
      </c>
      <c r="AG34">
        <v>140.11027097702001</v>
      </c>
      <c r="AH34">
        <v>642.90593314170803</v>
      </c>
    </row>
    <row r="35" spans="1:34" x14ac:dyDescent="0.2">
      <c r="A35" t="s">
        <v>269</v>
      </c>
      <c r="B35">
        <v>40</v>
      </c>
      <c r="C35">
        <v>40</v>
      </c>
      <c r="D35">
        <v>80</v>
      </c>
      <c r="E35">
        <v>30</v>
      </c>
      <c r="F35">
        <v>3</v>
      </c>
      <c r="G35">
        <v>3794</v>
      </c>
      <c r="H35">
        <v>53</v>
      </c>
      <c r="I35">
        <v>120</v>
      </c>
      <c r="J35">
        <v>173</v>
      </c>
      <c r="K35">
        <v>78</v>
      </c>
      <c r="L35">
        <v>105000</v>
      </c>
      <c r="M35">
        <v>2250000</v>
      </c>
      <c r="N35">
        <v>0</v>
      </c>
      <c r="O35">
        <v>40</v>
      </c>
      <c r="P35">
        <v>42.393048266850698</v>
      </c>
      <c r="Q35">
        <v>0</v>
      </c>
      <c r="R35">
        <v>1300000</v>
      </c>
      <c r="S35">
        <v>42.393048266850798</v>
      </c>
      <c r="T35">
        <v>0</v>
      </c>
      <c r="U35">
        <v>42.393048266850798</v>
      </c>
      <c r="V35">
        <v>0</v>
      </c>
      <c r="W35">
        <v>29.794786200137999</v>
      </c>
      <c r="X35">
        <f t="shared" si="0"/>
        <v>1200000</v>
      </c>
      <c r="Y35">
        <v>100000</v>
      </c>
      <c r="Z35">
        <v>8</v>
      </c>
      <c r="AA35">
        <v>2</v>
      </c>
      <c r="AB35">
        <v>140</v>
      </c>
      <c r="AC35">
        <v>30</v>
      </c>
      <c r="AD35" t="s">
        <v>120</v>
      </c>
      <c r="AE35" t="s">
        <v>1</v>
      </c>
      <c r="AF35">
        <v>402.56162381172101</v>
      </c>
      <c r="AG35">
        <v>111.536049365997</v>
      </c>
      <c r="AH35">
        <v>514.097673177719</v>
      </c>
    </row>
    <row r="36" spans="1:34" x14ac:dyDescent="0.2">
      <c r="A36" t="s">
        <v>270</v>
      </c>
      <c r="B36">
        <v>40</v>
      </c>
      <c r="C36">
        <v>40</v>
      </c>
      <c r="D36">
        <v>80</v>
      </c>
      <c r="E36">
        <v>30</v>
      </c>
      <c r="F36">
        <v>3</v>
      </c>
      <c r="G36">
        <v>3720</v>
      </c>
      <c r="H36">
        <v>50</v>
      </c>
      <c r="I36">
        <v>120</v>
      </c>
      <c r="J36">
        <v>170</v>
      </c>
      <c r="K36">
        <v>75</v>
      </c>
      <c r="L36">
        <v>105000</v>
      </c>
      <c r="M36">
        <v>2250000</v>
      </c>
      <c r="N36">
        <v>9</v>
      </c>
      <c r="O36">
        <v>31</v>
      </c>
      <c r="P36">
        <v>37.310520820975498</v>
      </c>
      <c r="Q36">
        <v>0</v>
      </c>
      <c r="R36">
        <v>1000000.31969309</v>
      </c>
      <c r="S36">
        <v>37.310520820975597</v>
      </c>
      <c r="T36">
        <v>0</v>
      </c>
      <c r="U36">
        <v>37.310520820975597</v>
      </c>
      <c r="V36">
        <v>0</v>
      </c>
      <c r="W36">
        <v>26.107890615731598</v>
      </c>
      <c r="X36">
        <f t="shared" si="0"/>
        <v>1050000</v>
      </c>
      <c r="Y36">
        <v>100000</v>
      </c>
      <c r="Z36">
        <v>7</v>
      </c>
      <c r="AA36">
        <v>2</v>
      </c>
      <c r="AB36">
        <v>133</v>
      </c>
      <c r="AC36">
        <v>28</v>
      </c>
      <c r="AD36" t="s">
        <v>121</v>
      </c>
      <c r="AE36" t="s">
        <v>1</v>
      </c>
      <c r="AF36">
        <v>391.98561286926201</v>
      </c>
      <c r="AG36">
        <v>103.061362028121</v>
      </c>
      <c r="AH36">
        <v>495.04697489738402</v>
      </c>
    </row>
    <row r="37" spans="1:34" x14ac:dyDescent="0.2">
      <c r="A37" t="s">
        <v>271</v>
      </c>
      <c r="B37">
        <v>40</v>
      </c>
      <c r="C37">
        <v>40</v>
      </c>
      <c r="D37">
        <v>80</v>
      </c>
      <c r="E37">
        <v>30</v>
      </c>
      <c r="F37">
        <v>3</v>
      </c>
      <c r="G37">
        <v>3623</v>
      </c>
      <c r="H37">
        <v>57</v>
      </c>
      <c r="I37">
        <v>120</v>
      </c>
      <c r="J37">
        <v>177</v>
      </c>
      <c r="K37">
        <v>71</v>
      </c>
      <c r="L37">
        <v>105000</v>
      </c>
      <c r="M37">
        <v>2250000</v>
      </c>
      <c r="N37">
        <v>4</v>
      </c>
      <c r="O37">
        <v>36</v>
      </c>
      <c r="P37">
        <v>34.648496910041999</v>
      </c>
      <c r="Q37">
        <v>0</v>
      </c>
      <c r="R37">
        <v>1150000</v>
      </c>
      <c r="S37">
        <v>34.648496910041999</v>
      </c>
      <c r="T37">
        <v>0</v>
      </c>
      <c r="U37">
        <v>34.648496910041999</v>
      </c>
      <c r="V37">
        <v>0</v>
      </c>
      <c r="W37">
        <v>24.173872682531499</v>
      </c>
      <c r="X37">
        <f t="shared" si="0"/>
        <v>1050000</v>
      </c>
      <c r="Y37">
        <v>100000</v>
      </c>
      <c r="Z37">
        <v>7</v>
      </c>
      <c r="AA37">
        <v>2</v>
      </c>
      <c r="AB37">
        <v>122</v>
      </c>
      <c r="AC37">
        <v>22</v>
      </c>
      <c r="AD37" t="s">
        <v>122</v>
      </c>
      <c r="AE37" t="s">
        <v>12</v>
      </c>
      <c r="AF37">
        <v>366.50295400619501</v>
      </c>
      <c r="AG37">
        <v>94.317531108856201</v>
      </c>
      <c r="AH37">
        <v>460.82048511505099</v>
      </c>
    </row>
    <row r="38" spans="1:34" x14ac:dyDescent="0.2">
      <c r="A38" t="s">
        <v>272</v>
      </c>
      <c r="B38">
        <v>40</v>
      </c>
      <c r="C38">
        <v>40</v>
      </c>
      <c r="D38">
        <v>80</v>
      </c>
      <c r="E38">
        <v>30</v>
      </c>
      <c r="F38">
        <v>3</v>
      </c>
      <c r="G38">
        <v>3787</v>
      </c>
      <c r="H38">
        <v>58</v>
      </c>
      <c r="I38">
        <v>120</v>
      </c>
      <c r="J38">
        <v>178</v>
      </c>
      <c r="K38">
        <v>74</v>
      </c>
      <c r="L38">
        <v>105000</v>
      </c>
      <c r="M38">
        <v>2250000</v>
      </c>
      <c r="N38">
        <v>6</v>
      </c>
      <c r="O38">
        <v>34</v>
      </c>
      <c r="P38">
        <v>39.012260954671298</v>
      </c>
      <c r="Q38">
        <v>0</v>
      </c>
      <c r="R38">
        <v>1000000</v>
      </c>
      <c r="S38">
        <v>39.012260954671298</v>
      </c>
      <c r="T38">
        <v>0</v>
      </c>
      <c r="U38">
        <v>39.012260954671298</v>
      </c>
      <c r="V38">
        <v>0</v>
      </c>
      <c r="W38">
        <v>27.4466957160035</v>
      </c>
      <c r="X38">
        <f t="shared" si="0"/>
        <v>900000</v>
      </c>
      <c r="Y38">
        <v>100000</v>
      </c>
      <c r="Z38">
        <v>6</v>
      </c>
      <c r="AA38">
        <v>2</v>
      </c>
      <c r="AB38">
        <v>126</v>
      </c>
      <c r="AC38">
        <v>23</v>
      </c>
      <c r="AD38" t="s">
        <v>123</v>
      </c>
      <c r="AE38" t="s">
        <v>1</v>
      </c>
      <c r="AF38">
        <v>409.32594680786099</v>
      </c>
      <c r="AG38">
        <v>106.229755878448</v>
      </c>
      <c r="AH38">
        <v>515.55570268630902</v>
      </c>
    </row>
    <row r="39" spans="1:34" x14ac:dyDescent="0.2">
      <c r="A39" t="s">
        <v>273</v>
      </c>
      <c r="B39">
        <v>40</v>
      </c>
      <c r="C39">
        <v>40</v>
      </c>
      <c r="D39">
        <v>80</v>
      </c>
      <c r="E39">
        <v>30</v>
      </c>
      <c r="F39">
        <v>3</v>
      </c>
      <c r="G39">
        <v>3709</v>
      </c>
      <c r="H39">
        <v>64</v>
      </c>
      <c r="I39">
        <v>120</v>
      </c>
      <c r="J39">
        <v>184</v>
      </c>
      <c r="K39">
        <v>70</v>
      </c>
      <c r="L39">
        <v>105000</v>
      </c>
      <c r="M39">
        <v>2250000</v>
      </c>
      <c r="N39">
        <v>3</v>
      </c>
      <c r="O39">
        <v>37</v>
      </c>
      <c r="P39">
        <v>29.787682163917101</v>
      </c>
      <c r="Q39">
        <v>0</v>
      </c>
      <c r="R39">
        <v>1450000</v>
      </c>
      <c r="S39">
        <v>29.787682163917101</v>
      </c>
      <c r="T39">
        <v>0</v>
      </c>
      <c r="U39">
        <v>29.787682163917101</v>
      </c>
      <c r="V39">
        <v>0</v>
      </c>
      <c r="W39">
        <v>21.215761622937801</v>
      </c>
      <c r="X39">
        <f t="shared" si="0"/>
        <v>1350000</v>
      </c>
      <c r="Y39">
        <v>100000</v>
      </c>
      <c r="Z39">
        <v>9</v>
      </c>
      <c r="AA39">
        <v>2</v>
      </c>
      <c r="AB39">
        <v>104</v>
      </c>
      <c r="AC39">
        <v>16</v>
      </c>
      <c r="AD39" t="s">
        <v>124</v>
      </c>
      <c r="AE39" t="s">
        <v>12</v>
      </c>
      <c r="AF39">
        <v>427.67327618598898</v>
      </c>
      <c r="AG39">
        <v>79.586361885070801</v>
      </c>
      <c r="AH39">
        <v>507.25963807106001</v>
      </c>
    </row>
    <row r="40" spans="1:34" x14ac:dyDescent="0.2">
      <c r="A40" t="s">
        <v>274</v>
      </c>
      <c r="B40">
        <v>40</v>
      </c>
      <c r="C40">
        <v>40</v>
      </c>
      <c r="D40">
        <v>80</v>
      </c>
      <c r="E40">
        <v>30</v>
      </c>
      <c r="F40">
        <v>3</v>
      </c>
      <c r="G40">
        <v>3956</v>
      </c>
      <c r="H40">
        <v>57</v>
      </c>
      <c r="I40">
        <v>120</v>
      </c>
      <c r="J40">
        <v>177</v>
      </c>
      <c r="K40">
        <v>75</v>
      </c>
      <c r="L40">
        <v>105000</v>
      </c>
      <c r="M40">
        <v>2250000</v>
      </c>
      <c r="N40">
        <v>5</v>
      </c>
      <c r="O40">
        <v>35</v>
      </c>
      <c r="P40">
        <v>38.3377909130257</v>
      </c>
      <c r="Q40">
        <v>0</v>
      </c>
      <c r="R40">
        <v>700000</v>
      </c>
      <c r="S40">
        <v>38.3377909130257</v>
      </c>
      <c r="T40">
        <v>0</v>
      </c>
      <c r="U40">
        <v>38.3377909130257</v>
      </c>
      <c r="V40">
        <v>0</v>
      </c>
      <c r="W40">
        <v>27.0658431847693</v>
      </c>
      <c r="X40">
        <f t="shared" si="0"/>
        <v>600000</v>
      </c>
      <c r="Y40">
        <v>100000</v>
      </c>
      <c r="Z40">
        <v>4</v>
      </c>
      <c r="AA40">
        <v>2</v>
      </c>
      <c r="AB40">
        <v>125</v>
      </c>
      <c r="AC40">
        <v>23</v>
      </c>
      <c r="AD40" t="s">
        <v>125</v>
      </c>
      <c r="AE40" t="s">
        <v>12</v>
      </c>
      <c r="AF40">
        <v>446.67418003082201</v>
      </c>
      <c r="AG40">
        <v>117.826289892196</v>
      </c>
      <c r="AH40">
        <v>564.50046992301895</v>
      </c>
    </row>
    <row r="41" spans="1:34" x14ac:dyDescent="0.2">
      <c r="A41" t="s">
        <v>275</v>
      </c>
      <c r="B41">
        <v>40</v>
      </c>
      <c r="C41">
        <v>40</v>
      </c>
      <c r="D41">
        <v>80</v>
      </c>
      <c r="E41">
        <v>30</v>
      </c>
      <c r="F41">
        <v>3</v>
      </c>
      <c r="G41">
        <v>3606</v>
      </c>
      <c r="H41">
        <v>62</v>
      </c>
      <c r="I41">
        <v>120</v>
      </c>
      <c r="J41">
        <v>182</v>
      </c>
      <c r="K41">
        <v>80</v>
      </c>
      <c r="L41">
        <v>105000</v>
      </c>
      <c r="M41">
        <v>2250000</v>
      </c>
      <c r="N41">
        <v>3</v>
      </c>
      <c r="O41">
        <v>37</v>
      </c>
      <c r="P41">
        <v>42.140421313407401</v>
      </c>
      <c r="Q41">
        <v>0</v>
      </c>
      <c r="R41">
        <v>1150000</v>
      </c>
      <c r="S41">
        <v>42.140421313407401</v>
      </c>
      <c r="T41">
        <v>0</v>
      </c>
      <c r="U41">
        <v>42.140421313407401</v>
      </c>
      <c r="V41">
        <v>0</v>
      </c>
      <c r="W41">
        <v>29.824309190173999</v>
      </c>
      <c r="X41">
        <f t="shared" si="0"/>
        <v>1050000</v>
      </c>
      <c r="Y41">
        <v>100000</v>
      </c>
      <c r="Z41">
        <v>7</v>
      </c>
      <c r="AA41">
        <v>2</v>
      </c>
      <c r="AB41">
        <v>132</v>
      </c>
      <c r="AC41">
        <v>26</v>
      </c>
      <c r="AD41" t="s">
        <v>126</v>
      </c>
      <c r="AE41" t="s">
        <v>3</v>
      </c>
      <c r="AF41">
        <v>395.07055425643898</v>
      </c>
      <c r="AG41">
        <v>116.737749099731</v>
      </c>
      <c r="AH41">
        <v>511.80830335616997</v>
      </c>
    </row>
    <row r="42" spans="1:34" x14ac:dyDescent="0.2">
      <c r="A42" t="s">
        <v>276</v>
      </c>
      <c r="B42">
        <v>50</v>
      </c>
      <c r="C42">
        <v>50</v>
      </c>
      <c r="D42">
        <v>100</v>
      </c>
      <c r="E42">
        <v>30</v>
      </c>
      <c r="F42">
        <v>3</v>
      </c>
      <c r="G42">
        <v>5325</v>
      </c>
      <c r="H42">
        <v>74</v>
      </c>
      <c r="I42">
        <v>120</v>
      </c>
      <c r="J42">
        <v>194</v>
      </c>
      <c r="K42">
        <v>82</v>
      </c>
      <c r="L42">
        <v>105000</v>
      </c>
      <c r="M42">
        <v>2250000</v>
      </c>
      <c r="N42">
        <v>11</v>
      </c>
      <c r="O42">
        <v>39</v>
      </c>
      <c r="P42">
        <v>40.9176513691704</v>
      </c>
      <c r="Q42">
        <v>0</v>
      </c>
      <c r="R42">
        <v>1450000</v>
      </c>
      <c r="S42">
        <v>40.9176513691704</v>
      </c>
      <c r="T42">
        <v>0</v>
      </c>
      <c r="U42">
        <v>40.9176513691704</v>
      </c>
      <c r="V42">
        <v>0</v>
      </c>
      <c r="W42">
        <v>23.0005908215022</v>
      </c>
      <c r="X42">
        <f t="shared" si="0"/>
        <v>1350000</v>
      </c>
      <c r="Y42">
        <v>100000</v>
      </c>
      <c r="Z42">
        <v>9</v>
      </c>
      <c r="AA42">
        <v>2</v>
      </c>
      <c r="AB42">
        <v>136</v>
      </c>
      <c r="AC42">
        <v>23</v>
      </c>
      <c r="AD42" t="s">
        <v>127</v>
      </c>
      <c r="AE42" t="s">
        <v>1</v>
      </c>
      <c r="AF42">
        <v>1072.28941178321</v>
      </c>
      <c r="AG42">
        <v>148.19584822654701</v>
      </c>
      <c r="AH42">
        <v>1220.4852600097599</v>
      </c>
    </row>
    <row r="43" spans="1:34" x14ac:dyDescent="0.2">
      <c r="A43" t="s">
        <v>277</v>
      </c>
      <c r="B43">
        <v>50</v>
      </c>
      <c r="C43">
        <v>50</v>
      </c>
      <c r="D43">
        <v>100</v>
      </c>
      <c r="E43">
        <v>30</v>
      </c>
      <c r="F43">
        <v>3</v>
      </c>
      <c r="G43">
        <v>5603</v>
      </c>
      <c r="H43">
        <v>72</v>
      </c>
      <c r="I43">
        <v>120</v>
      </c>
      <c r="J43">
        <v>192</v>
      </c>
      <c r="K43">
        <v>89</v>
      </c>
      <c r="L43">
        <v>105000</v>
      </c>
      <c r="M43">
        <v>2250000</v>
      </c>
      <c r="N43">
        <v>5</v>
      </c>
      <c r="O43">
        <v>45</v>
      </c>
      <c r="P43">
        <v>43.5856472760941</v>
      </c>
      <c r="Q43">
        <v>0</v>
      </c>
      <c r="R43">
        <v>1000000.39556962</v>
      </c>
      <c r="S43">
        <v>43.5856472760941</v>
      </c>
      <c r="T43">
        <v>0</v>
      </c>
      <c r="U43">
        <v>43.5856472760941</v>
      </c>
      <c r="V43">
        <v>0</v>
      </c>
      <c r="W43">
        <v>24.201388365656399</v>
      </c>
      <c r="X43">
        <f t="shared" si="0"/>
        <v>1200000</v>
      </c>
      <c r="Y43">
        <v>100000</v>
      </c>
      <c r="Z43">
        <v>8</v>
      </c>
      <c r="AA43">
        <v>2</v>
      </c>
      <c r="AB43">
        <v>154</v>
      </c>
      <c r="AC43">
        <v>26</v>
      </c>
      <c r="AD43" t="s">
        <v>128</v>
      </c>
      <c r="AE43" t="s">
        <v>1</v>
      </c>
      <c r="AF43">
        <v>1282.4070510864201</v>
      </c>
      <c r="AG43">
        <v>167.43449306488</v>
      </c>
      <c r="AH43">
        <v>1449.8415441513</v>
      </c>
    </row>
    <row r="44" spans="1:34" x14ac:dyDescent="0.2">
      <c r="A44" t="s">
        <v>278</v>
      </c>
      <c r="B44">
        <v>50</v>
      </c>
      <c r="C44">
        <v>50</v>
      </c>
      <c r="D44">
        <v>100</v>
      </c>
      <c r="E44">
        <v>30</v>
      </c>
      <c r="F44">
        <v>3</v>
      </c>
      <c r="G44">
        <v>4994</v>
      </c>
      <c r="H44">
        <v>66</v>
      </c>
      <c r="I44">
        <v>120</v>
      </c>
      <c r="J44">
        <v>186</v>
      </c>
      <c r="K44">
        <v>88</v>
      </c>
      <c r="L44">
        <v>105000</v>
      </c>
      <c r="M44">
        <v>2250000</v>
      </c>
      <c r="N44">
        <v>7</v>
      </c>
      <c r="O44">
        <v>43</v>
      </c>
      <c r="P44">
        <v>54.6998728744977</v>
      </c>
      <c r="Q44" s="1">
        <v>9.0317684520411704E-5</v>
      </c>
      <c r="R44">
        <v>2350000</v>
      </c>
      <c r="S44">
        <v>54.704813686601902</v>
      </c>
      <c r="T44">
        <v>0</v>
      </c>
      <c r="U44">
        <v>54.704813686601902</v>
      </c>
      <c r="V44">
        <v>0</v>
      </c>
      <c r="W44">
        <v>30.208803813435502</v>
      </c>
      <c r="X44">
        <f t="shared" si="0"/>
        <v>1950000</v>
      </c>
      <c r="Y44">
        <v>100000</v>
      </c>
      <c r="Z44">
        <v>13</v>
      </c>
      <c r="AA44">
        <v>2</v>
      </c>
      <c r="AB44">
        <v>171</v>
      </c>
      <c r="AC44">
        <v>32</v>
      </c>
      <c r="AD44" t="s">
        <v>129</v>
      </c>
      <c r="AE44" t="s">
        <v>3</v>
      </c>
      <c r="AF44">
        <v>1298.06647801399</v>
      </c>
      <c r="AG44">
        <v>176.93713808059599</v>
      </c>
      <c r="AH44">
        <v>1475.0036160945799</v>
      </c>
    </row>
    <row r="45" spans="1:34" x14ac:dyDescent="0.2">
      <c r="A45" t="s">
        <v>279</v>
      </c>
      <c r="B45">
        <v>50</v>
      </c>
      <c r="C45">
        <v>50</v>
      </c>
      <c r="D45">
        <v>100</v>
      </c>
      <c r="E45">
        <v>30</v>
      </c>
      <c r="F45">
        <v>3</v>
      </c>
      <c r="G45">
        <v>5254</v>
      </c>
      <c r="H45">
        <v>70</v>
      </c>
      <c r="I45">
        <v>120</v>
      </c>
      <c r="J45">
        <v>190</v>
      </c>
      <c r="K45">
        <v>100</v>
      </c>
      <c r="L45">
        <v>105000</v>
      </c>
      <c r="M45">
        <v>2250000</v>
      </c>
      <c r="N45">
        <v>3</v>
      </c>
      <c r="O45">
        <v>47</v>
      </c>
      <c r="P45">
        <v>51.555063488425802</v>
      </c>
      <c r="Q45">
        <v>0</v>
      </c>
      <c r="R45">
        <v>1000000</v>
      </c>
      <c r="S45">
        <v>51.555063488425802</v>
      </c>
      <c r="T45">
        <v>0</v>
      </c>
      <c r="U45">
        <v>51.555063488425802</v>
      </c>
      <c r="V45">
        <v>0</v>
      </c>
      <c r="W45">
        <v>29.283038093055499</v>
      </c>
      <c r="X45">
        <f t="shared" si="0"/>
        <v>900000</v>
      </c>
      <c r="Y45">
        <v>100000</v>
      </c>
      <c r="Z45">
        <v>6</v>
      </c>
      <c r="AA45">
        <v>2</v>
      </c>
      <c r="AB45">
        <v>165</v>
      </c>
      <c r="AC45">
        <v>32</v>
      </c>
      <c r="AD45" t="s">
        <v>130</v>
      </c>
      <c r="AE45" t="s">
        <v>1</v>
      </c>
      <c r="AF45">
        <v>940.62508082389797</v>
      </c>
      <c r="AG45">
        <v>162.05153989791799</v>
      </c>
      <c r="AH45">
        <v>1102.67662072181</v>
      </c>
    </row>
    <row r="46" spans="1:34" x14ac:dyDescent="0.2">
      <c r="A46" t="s">
        <v>280</v>
      </c>
      <c r="B46">
        <v>50</v>
      </c>
      <c r="C46">
        <v>50</v>
      </c>
      <c r="D46">
        <v>100</v>
      </c>
      <c r="E46">
        <v>30</v>
      </c>
      <c r="F46">
        <v>3</v>
      </c>
      <c r="G46">
        <v>5200</v>
      </c>
      <c r="H46">
        <v>72</v>
      </c>
      <c r="I46">
        <v>120</v>
      </c>
      <c r="J46">
        <v>192</v>
      </c>
      <c r="K46">
        <v>105</v>
      </c>
      <c r="L46">
        <v>105000</v>
      </c>
      <c r="M46">
        <v>2250000</v>
      </c>
      <c r="N46">
        <v>7</v>
      </c>
      <c r="O46">
        <v>43</v>
      </c>
      <c r="P46">
        <v>61.221461321562401</v>
      </c>
      <c r="Q46">
        <v>0</v>
      </c>
      <c r="R46">
        <v>1150000.59335443</v>
      </c>
      <c r="S46">
        <v>61.221461321562401</v>
      </c>
      <c r="T46">
        <v>0</v>
      </c>
      <c r="U46">
        <v>61.221461321562401</v>
      </c>
      <c r="V46">
        <v>0</v>
      </c>
      <c r="W46">
        <v>34.282876792937401</v>
      </c>
      <c r="X46">
        <f t="shared" si="0"/>
        <v>1500000</v>
      </c>
      <c r="Y46">
        <v>100000</v>
      </c>
      <c r="Z46">
        <v>10</v>
      </c>
      <c r="AA46">
        <v>2</v>
      </c>
      <c r="AB46">
        <v>193</v>
      </c>
      <c r="AC46">
        <v>39</v>
      </c>
      <c r="AD46" t="s">
        <v>131</v>
      </c>
      <c r="AE46" t="s">
        <v>12</v>
      </c>
      <c r="AF46">
        <v>1238.9080979824</v>
      </c>
      <c r="AG46">
        <v>178.90342712402301</v>
      </c>
      <c r="AH46">
        <v>1417.8115251064301</v>
      </c>
    </row>
    <row r="47" spans="1:34" x14ac:dyDescent="0.2">
      <c r="A47" t="s">
        <v>281</v>
      </c>
      <c r="B47">
        <v>50</v>
      </c>
      <c r="C47">
        <v>50</v>
      </c>
      <c r="D47">
        <v>100</v>
      </c>
      <c r="E47">
        <v>30</v>
      </c>
      <c r="F47">
        <v>3</v>
      </c>
      <c r="G47">
        <v>5555</v>
      </c>
      <c r="H47">
        <v>82</v>
      </c>
      <c r="I47">
        <v>120</v>
      </c>
      <c r="J47">
        <v>202</v>
      </c>
      <c r="K47">
        <v>100</v>
      </c>
      <c r="L47">
        <v>105000</v>
      </c>
      <c r="M47">
        <v>2250000</v>
      </c>
      <c r="N47">
        <v>3</v>
      </c>
      <c r="O47">
        <v>47</v>
      </c>
      <c r="P47">
        <v>48.7368849048732</v>
      </c>
      <c r="Q47">
        <v>0</v>
      </c>
      <c r="R47">
        <v>1600000</v>
      </c>
      <c r="S47">
        <v>48.7368849048732</v>
      </c>
      <c r="T47">
        <v>0</v>
      </c>
      <c r="U47">
        <v>48.7368849048732</v>
      </c>
      <c r="V47">
        <v>0</v>
      </c>
      <c r="W47">
        <v>27.592130942923902</v>
      </c>
      <c r="X47">
        <f t="shared" si="0"/>
        <v>1350000</v>
      </c>
      <c r="Y47">
        <v>100000</v>
      </c>
      <c r="Z47">
        <v>9</v>
      </c>
      <c r="AA47">
        <v>2</v>
      </c>
      <c r="AB47">
        <v>160</v>
      </c>
      <c r="AC47">
        <v>27</v>
      </c>
      <c r="AD47" t="s">
        <v>132</v>
      </c>
      <c r="AE47" t="s">
        <v>1</v>
      </c>
      <c r="AF47">
        <v>1228.12793898582</v>
      </c>
      <c r="AG47">
        <v>161.990744829177</v>
      </c>
      <c r="AH47">
        <v>1390.1186838149999</v>
      </c>
    </row>
    <row r="48" spans="1:34" x14ac:dyDescent="0.2">
      <c r="A48" t="s">
        <v>282</v>
      </c>
      <c r="B48">
        <v>50</v>
      </c>
      <c r="C48">
        <v>50</v>
      </c>
      <c r="D48">
        <v>100</v>
      </c>
      <c r="E48">
        <v>30</v>
      </c>
      <c r="F48">
        <v>3</v>
      </c>
      <c r="G48">
        <v>5527</v>
      </c>
      <c r="H48">
        <v>65</v>
      </c>
      <c r="I48">
        <v>120</v>
      </c>
      <c r="J48">
        <v>185</v>
      </c>
      <c r="K48">
        <v>91</v>
      </c>
      <c r="L48">
        <v>105000</v>
      </c>
      <c r="M48">
        <v>2250000</v>
      </c>
      <c r="N48">
        <v>8</v>
      </c>
      <c r="O48">
        <v>42</v>
      </c>
      <c r="P48">
        <v>45.675368236826102</v>
      </c>
      <c r="Q48">
        <v>0</v>
      </c>
      <c r="R48">
        <v>1600000</v>
      </c>
      <c r="S48">
        <v>45.675368236826102</v>
      </c>
      <c r="T48">
        <v>0</v>
      </c>
      <c r="U48">
        <v>45.675368236826102</v>
      </c>
      <c r="V48">
        <v>0</v>
      </c>
      <c r="W48">
        <v>25.891136543569999</v>
      </c>
      <c r="X48">
        <f t="shared" si="0"/>
        <v>1350000</v>
      </c>
      <c r="Y48">
        <v>100000</v>
      </c>
      <c r="Z48">
        <v>9</v>
      </c>
      <c r="AA48">
        <v>2</v>
      </c>
      <c r="AB48">
        <v>153</v>
      </c>
      <c r="AC48">
        <v>33</v>
      </c>
      <c r="AD48" t="s">
        <v>133</v>
      </c>
      <c r="AE48" t="s">
        <v>3</v>
      </c>
      <c r="AF48">
        <v>1098.0026500224999</v>
      </c>
      <c r="AG48">
        <v>208.693424224853</v>
      </c>
      <c r="AH48">
        <v>1306.69607424736</v>
      </c>
    </row>
    <row r="49" spans="1:34" x14ac:dyDescent="0.2">
      <c r="A49" t="s">
        <v>283</v>
      </c>
      <c r="B49">
        <v>50</v>
      </c>
      <c r="C49">
        <v>50</v>
      </c>
      <c r="D49">
        <v>100</v>
      </c>
      <c r="E49">
        <v>30</v>
      </c>
      <c r="F49">
        <v>3</v>
      </c>
      <c r="G49">
        <v>5208</v>
      </c>
      <c r="H49">
        <v>69</v>
      </c>
      <c r="I49">
        <v>120</v>
      </c>
      <c r="J49">
        <v>189</v>
      </c>
      <c r="K49">
        <v>103</v>
      </c>
      <c r="L49">
        <v>105000</v>
      </c>
      <c r="M49">
        <v>2250000</v>
      </c>
      <c r="N49">
        <v>1</v>
      </c>
      <c r="O49">
        <v>49</v>
      </c>
      <c r="P49">
        <v>51.655480989081703</v>
      </c>
      <c r="Q49">
        <v>0</v>
      </c>
      <c r="R49">
        <v>1150000</v>
      </c>
      <c r="S49">
        <v>51.655480989081703</v>
      </c>
      <c r="T49">
        <v>0</v>
      </c>
      <c r="U49">
        <v>51.655480989081703</v>
      </c>
      <c r="V49">
        <v>0</v>
      </c>
      <c r="W49">
        <v>29.043288593448999</v>
      </c>
      <c r="X49">
        <f t="shared" si="0"/>
        <v>1050000</v>
      </c>
      <c r="Y49">
        <v>100000</v>
      </c>
      <c r="Z49">
        <v>7</v>
      </c>
      <c r="AA49">
        <v>2</v>
      </c>
      <c r="AB49">
        <v>182</v>
      </c>
      <c r="AC49">
        <v>40</v>
      </c>
      <c r="AD49" t="s">
        <v>134</v>
      </c>
      <c r="AE49" t="s">
        <v>1</v>
      </c>
      <c r="AF49">
        <v>934.84503889083805</v>
      </c>
      <c r="AG49">
        <v>228.66733813285799</v>
      </c>
      <c r="AH49">
        <v>1163.5123770236901</v>
      </c>
    </row>
    <row r="50" spans="1:34" x14ac:dyDescent="0.2">
      <c r="A50" t="s">
        <v>284</v>
      </c>
      <c r="B50">
        <v>50</v>
      </c>
      <c r="C50">
        <v>50</v>
      </c>
      <c r="D50">
        <v>100</v>
      </c>
      <c r="E50">
        <v>30</v>
      </c>
      <c r="F50">
        <v>3</v>
      </c>
      <c r="G50">
        <v>5634</v>
      </c>
      <c r="H50">
        <v>80</v>
      </c>
      <c r="I50">
        <v>120</v>
      </c>
      <c r="J50">
        <v>200</v>
      </c>
      <c r="K50">
        <v>95</v>
      </c>
      <c r="L50">
        <v>105000</v>
      </c>
      <c r="M50">
        <v>2250000</v>
      </c>
      <c r="N50">
        <v>9</v>
      </c>
      <c r="O50">
        <v>41</v>
      </c>
      <c r="P50">
        <v>49.3757628872429</v>
      </c>
      <c r="Q50">
        <v>0</v>
      </c>
      <c r="R50">
        <v>1750000</v>
      </c>
      <c r="S50">
        <v>49.3757628872429</v>
      </c>
      <c r="T50">
        <v>0</v>
      </c>
      <c r="U50">
        <v>49.3757628872429</v>
      </c>
      <c r="V50">
        <v>0</v>
      </c>
      <c r="W50">
        <v>27.725457732345799</v>
      </c>
      <c r="X50">
        <f t="shared" si="0"/>
        <v>1650000</v>
      </c>
      <c r="Y50">
        <v>100000</v>
      </c>
      <c r="Z50">
        <v>11</v>
      </c>
      <c r="AA50">
        <v>2</v>
      </c>
      <c r="AB50">
        <v>162</v>
      </c>
      <c r="AC50">
        <v>29</v>
      </c>
      <c r="AD50" t="s">
        <v>135</v>
      </c>
      <c r="AE50" t="s">
        <v>3</v>
      </c>
      <c r="AF50">
        <v>1272.6692790985101</v>
      </c>
      <c r="AG50">
        <v>179.06308102607699</v>
      </c>
      <c r="AH50">
        <v>1451.7323601245801</v>
      </c>
    </row>
    <row r="51" spans="1:34" x14ac:dyDescent="0.2">
      <c r="A51" t="s">
        <v>285</v>
      </c>
      <c r="B51">
        <v>50</v>
      </c>
      <c r="C51">
        <v>50</v>
      </c>
      <c r="D51">
        <v>100</v>
      </c>
      <c r="E51">
        <v>30</v>
      </c>
      <c r="F51">
        <v>3</v>
      </c>
      <c r="G51">
        <v>5513</v>
      </c>
      <c r="H51">
        <v>72</v>
      </c>
      <c r="I51">
        <v>120</v>
      </c>
      <c r="J51">
        <v>192</v>
      </c>
      <c r="K51">
        <v>95</v>
      </c>
      <c r="L51">
        <v>105000</v>
      </c>
      <c r="M51">
        <v>2250000</v>
      </c>
      <c r="N51">
        <v>3</v>
      </c>
      <c r="O51">
        <v>47</v>
      </c>
      <c r="P51">
        <v>49.670916540677503</v>
      </c>
      <c r="Q51">
        <v>0</v>
      </c>
      <c r="R51">
        <v>1750000</v>
      </c>
      <c r="S51">
        <v>49.670916540677503</v>
      </c>
      <c r="T51">
        <v>0</v>
      </c>
      <c r="U51">
        <v>49.670916540677503</v>
      </c>
      <c r="V51">
        <v>0</v>
      </c>
      <c r="W51">
        <v>27.802549924406499</v>
      </c>
      <c r="X51">
        <f t="shared" si="0"/>
        <v>1650000</v>
      </c>
      <c r="Y51">
        <v>100000</v>
      </c>
      <c r="Z51">
        <v>11</v>
      </c>
      <c r="AA51">
        <v>2</v>
      </c>
      <c r="AB51">
        <v>167</v>
      </c>
      <c r="AC51">
        <v>32</v>
      </c>
      <c r="AD51" t="s">
        <v>136</v>
      </c>
      <c r="AE51" t="s">
        <v>1</v>
      </c>
      <c r="AF51">
        <v>1068.6362309455801</v>
      </c>
      <c r="AG51">
        <v>117.832195043563</v>
      </c>
      <c r="AH51">
        <v>1186.4684259891501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9108-4C5D-F943-AE59-BB1B727CA2C9}">
  <dimension ref="A1:AH51"/>
  <sheetViews>
    <sheetView tabSelected="1" workbookViewId="0">
      <selection activeCell="A2" sqref="A2:A51"/>
    </sheetView>
  </sheetViews>
  <sheetFormatPr baseColWidth="10" defaultRowHeight="16" x14ac:dyDescent="0.2"/>
  <sheetData>
    <row r="1" spans="1:34" x14ac:dyDescent="0.2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</row>
    <row r="2" spans="1:34" x14ac:dyDescent="0.2">
      <c r="A2" t="s">
        <v>286</v>
      </c>
      <c r="B2">
        <v>10</v>
      </c>
      <c r="C2">
        <v>10</v>
      </c>
      <c r="D2">
        <v>20</v>
      </c>
      <c r="E2">
        <v>36</v>
      </c>
      <c r="F2">
        <v>3</v>
      </c>
      <c r="G2">
        <v>928</v>
      </c>
      <c r="H2">
        <v>14</v>
      </c>
      <c r="I2">
        <v>120</v>
      </c>
      <c r="J2">
        <v>134</v>
      </c>
      <c r="K2">
        <v>19</v>
      </c>
      <c r="L2">
        <v>105000</v>
      </c>
      <c r="M2">
        <v>2700000</v>
      </c>
      <c r="N2">
        <v>1</v>
      </c>
      <c r="O2">
        <v>9</v>
      </c>
      <c r="P2">
        <v>12.083785621642599</v>
      </c>
      <c r="Q2">
        <v>0</v>
      </c>
      <c r="R2">
        <v>1150000</v>
      </c>
      <c r="S2">
        <v>12.083785621642599</v>
      </c>
      <c r="T2">
        <v>0</v>
      </c>
      <c r="U2">
        <v>12.083785621642599</v>
      </c>
      <c r="V2">
        <v>0</v>
      </c>
      <c r="W2">
        <v>33.251356864927899</v>
      </c>
      <c r="X2">
        <f>150000*Z2</f>
        <v>1050000</v>
      </c>
      <c r="Y2">
        <v>100000</v>
      </c>
      <c r="Z2">
        <v>7</v>
      </c>
      <c r="AA2">
        <v>2</v>
      </c>
      <c r="AB2">
        <v>39</v>
      </c>
      <c r="AC2">
        <v>8</v>
      </c>
      <c r="AD2" t="s">
        <v>0</v>
      </c>
      <c r="AE2" t="s">
        <v>1</v>
      </c>
      <c r="AF2">
        <v>11.530382156371999</v>
      </c>
      <c r="AG2">
        <v>9.7883908748626691</v>
      </c>
      <c r="AH2">
        <v>21.318773031234699</v>
      </c>
    </row>
    <row r="3" spans="1:34" x14ac:dyDescent="0.2">
      <c r="A3" t="s">
        <v>287</v>
      </c>
      <c r="B3">
        <v>10</v>
      </c>
      <c r="C3">
        <v>10</v>
      </c>
      <c r="D3">
        <v>20</v>
      </c>
      <c r="E3">
        <v>36</v>
      </c>
      <c r="F3">
        <v>3</v>
      </c>
      <c r="G3">
        <v>917</v>
      </c>
      <c r="H3">
        <v>14</v>
      </c>
      <c r="I3">
        <v>120</v>
      </c>
      <c r="J3">
        <v>134</v>
      </c>
      <c r="K3">
        <v>24</v>
      </c>
      <c r="L3">
        <v>105000</v>
      </c>
      <c r="M3">
        <v>2700000</v>
      </c>
      <c r="N3">
        <v>1</v>
      </c>
      <c r="O3">
        <v>9</v>
      </c>
      <c r="P3">
        <v>17.143345555100598</v>
      </c>
      <c r="Q3">
        <v>0</v>
      </c>
      <c r="R3">
        <v>700000</v>
      </c>
      <c r="S3">
        <v>17.143345555100598</v>
      </c>
      <c r="T3">
        <v>0</v>
      </c>
      <c r="U3">
        <v>17.143345555100598</v>
      </c>
      <c r="V3">
        <v>0</v>
      </c>
      <c r="W3">
        <v>48.180036665302097</v>
      </c>
      <c r="X3">
        <f t="shared" ref="X3:X51" si="0">150000*Z3</f>
        <v>600000</v>
      </c>
      <c r="Y3">
        <v>100000</v>
      </c>
      <c r="Z3">
        <v>4</v>
      </c>
      <c r="AA3">
        <v>2</v>
      </c>
      <c r="AB3">
        <v>47</v>
      </c>
      <c r="AC3">
        <v>10</v>
      </c>
      <c r="AD3" t="s">
        <v>2</v>
      </c>
      <c r="AE3" t="s">
        <v>3</v>
      </c>
      <c r="AF3">
        <v>11.4522349834442</v>
      </c>
      <c r="AG3">
        <v>4.0370209217071498</v>
      </c>
      <c r="AH3">
        <v>15.4892559051513</v>
      </c>
    </row>
    <row r="4" spans="1:34" x14ac:dyDescent="0.2">
      <c r="A4" t="s">
        <v>288</v>
      </c>
      <c r="B4">
        <v>10</v>
      </c>
      <c r="C4">
        <v>10</v>
      </c>
      <c r="D4">
        <v>20</v>
      </c>
      <c r="E4">
        <v>36</v>
      </c>
      <c r="F4">
        <v>3</v>
      </c>
      <c r="G4">
        <v>953</v>
      </c>
      <c r="H4">
        <v>16</v>
      </c>
      <c r="I4">
        <v>120</v>
      </c>
      <c r="J4">
        <v>136</v>
      </c>
      <c r="K4">
        <v>16</v>
      </c>
      <c r="L4">
        <v>105000</v>
      </c>
      <c r="M4">
        <v>2700000</v>
      </c>
      <c r="N4">
        <v>2</v>
      </c>
      <c r="O4">
        <v>8</v>
      </c>
      <c r="P4">
        <v>9.6810900661572106</v>
      </c>
      <c r="Q4">
        <v>0</v>
      </c>
      <c r="R4">
        <v>500000</v>
      </c>
      <c r="S4">
        <v>9.6810900661572106</v>
      </c>
      <c r="T4">
        <v>0</v>
      </c>
      <c r="U4">
        <v>9.6810900661572106</v>
      </c>
      <c r="V4">
        <v>0</v>
      </c>
      <c r="W4">
        <v>27.0432701984716</v>
      </c>
      <c r="X4">
        <f t="shared" si="0"/>
        <v>450000</v>
      </c>
      <c r="Y4">
        <v>50000</v>
      </c>
      <c r="Z4">
        <v>3</v>
      </c>
      <c r="AA4">
        <v>1</v>
      </c>
      <c r="AB4">
        <v>28</v>
      </c>
      <c r="AC4">
        <v>4</v>
      </c>
      <c r="AD4" t="s">
        <v>4</v>
      </c>
      <c r="AE4" t="s">
        <v>5</v>
      </c>
      <c r="AF4">
        <v>12.1135540008544</v>
      </c>
      <c r="AG4">
        <v>6.0623002052307102</v>
      </c>
      <c r="AH4">
        <v>18.175854206085202</v>
      </c>
    </row>
    <row r="5" spans="1:34" x14ac:dyDescent="0.2">
      <c r="A5" t="s">
        <v>289</v>
      </c>
      <c r="B5">
        <v>10</v>
      </c>
      <c r="C5">
        <v>10</v>
      </c>
      <c r="D5">
        <v>20</v>
      </c>
      <c r="E5">
        <v>36</v>
      </c>
      <c r="F5">
        <v>3</v>
      </c>
      <c r="G5">
        <v>944</v>
      </c>
      <c r="H5">
        <v>12</v>
      </c>
      <c r="I5">
        <v>120</v>
      </c>
      <c r="J5">
        <v>132</v>
      </c>
      <c r="K5">
        <v>22</v>
      </c>
      <c r="L5">
        <v>105000</v>
      </c>
      <c r="M5">
        <v>2700000</v>
      </c>
      <c r="N5">
        <v>0</v>
      </c>
      <c r="O5">
        <v>10</v>
      </c>
      <c r="P5">
        <v>12.4094630110907</v>
      </c>
      <c r="Q5">
        <v>0</v>
      </c>
      <c r="R5">
        <v>400000</v>
      </c>
      <c r="S5">
        <v>12.4094630110907</v>
      </c>
      <c r="T5">
        <v>0</v>
      </c>
      <c r="U5">
        <v>12.4094630110907</v>
      </c>
      <c r="V5">
        <v>0</v>
      </c>
      <c r="W5">
        <v>34.469877248860001</v>
      </c>
      <c r="X5">
        <f t="shared" si="0"/>
        <v>300000</v>
      </c>
      <c r="Y5">
        <v>100000</v>
      </c>
      <c r="Z5">
        <v>2</v>
      </c>
      <c r="AA5">
        <v>2</v>
      </c>
      <c r="AB5">
        <v>43</v>
      </c>
      <c r="AC5">
        <v>11</v>
      </c>
      <c r="AD5" t="s">
        <v>6</v>
      </c>
      <c r="AE5" t="s">
        <v>3</v>
      </c>
      <c r="AF5">
        <v>11.541048049926699</v>
      </c>
      <c r="AG5">
        <v>15.2159028053283</v>
      </c>
      <c r="AH5">
        <v>26.756950855255099</v>
      </c>
    </row>
    <row r="6" spans="1:34" x14ac:dyDescent="0.2">
      <c r="A6" t="s">
        <v>290</v>
      </c>
      <c r="B6">
        <v>10</v>
      </c>
      <c r="C6">
        <v>10</v>
      </c>
      <c r="D6">
        <v>20</v>
      </c>
      <c r="E6">
        <v>36</v>
      </c>
      <c r="F6">
        <v>3</v>
      </c>
      <c r="G6">
        <v>918</v>
      </c>
      <c r="H6">
        <v>17</v>
      </c>
      <c r="I6">
        <v>120</v>
      </c>
      <c r="J6">
        <v>137</v>
      </c>
      <c r="K6">
        <v>19</v>
      </c>
      <c r="L6">
        <v>105000</v>
      </c>
      <c r="M6">
        <v>2700000</v>
      </c>
      <c r="N6">
        <v>1</v>
      </c>
      <c r="O6">
        <v>9</v>
      </c>
      <c r="P6">
        <v>12.047781394951199</v>
      </c>
      <c r="Q6">
        <v>0</v>
      </c>
      <c r="R6">
        <v>950000</v>
      </c>
      <c r="S6">
        <v>12.047781394951199</v>
      </c>
      <c r="T6">
        <v>0</v>
      </c>
      <c r="U6">
        <v>12.047781394951199</v>
      </c>
      <c r="V6">
        <v>0</v>
      </c>
      <c r="W6">
        <v>33.143344184853603</v>
      </c>
      <c r="X6">
        <f t="shared" si="0"/>
        <v>900000</v>
      </c>
      <c r="Y6">
        <v>50000</v>
      </c>
      <c r="Z6">
        <v>6</v>
      </c>
      <c r="AA6">
        <v>1</v>
      </c>
      <c r="AB6">
        <v>34</v>
      </c>
      <c r="AC6">
        <v>3</v>
      </c>
      <c r="AD6" t="s">
        <v>7</v>
      </c>
      <c r="AE6" t="s">
        <v>5</v>
      </c>
      <c r="AF6">
        <v>11.7057838439941</v>
      </c>
      <c r="AG6">
        <v>4.1515369415283203</v>
      </c>
      <c r="AH6">
        <v>15.857320785522401</v>
      </c>
    </row>
    <row r="7" spans="1:34" x14ac:dyDescent="0.2">
      <c r="A7" t="s">
        <v>291</v>
      </c>
      <c r="B7">
        <v>10</v>
      </c>
      <c r="C7">
        <v>10</v>
      </c>
      <c r="D7">
        <v>20</v>
      </c>
      <c r="E7">
        <v>36</v>
      </c>
      <c r="F7">
        <v>3</v>
      </c>
      <c r="G7">
        <v>969</v>
      </c>
      <c r="H7">
        <v>14</v>
      </c>
      <c r="I7">
        <v>120</v>
      </c>
      <c r="J7">
        <v>134</v>
      </c>
      <c r="K7">
        <v>19</v>
      </c>
      <c r="L7">
        <v>105000</v>
      </c>
      <c r="M7">
        <v>2700000</v>
      </c>
      <c r="N7">
        <v>0</v>
      </c>
      <c r="O7">
        <v>10</v>
      </c>
      <c r="P7">
        <v>9.3230113493137399</v>
      </c>
      <c r="Q7">
        <v>0</v>
      </c>
      <c r="R7">
        <v>550000</v>
      </c>
      <c r="S7">
        <v>9.3230113493137399</v>
      </c>
      <c r="T7">
        <v>0</v>
      </c>
      <c r="U7">
        <v>9.3230113493137399</v>
      </c>
      <c r="V7">
        <v>0</v>
      </c>
      <c r="W7">
        <v>26.9690340479412</v>
      </c>
      <c r="X7">
        <f t="shared" si="0"/>
        <v>450000</v>
      </c>
      <c r="Y7">
        <v>100000</v>
      </c>
      <c r="Z7">
        <v>3</v>
      </c>
      <c r="AA7">
        <v>2</v>
      </c>
      <c r="AB7">
        <v>30</v>
      </c>
      <c r="AC7">
        <v>7</v>
      </c>
      <c r="AD7" t="s">
        <v>8</v>
      </c>
      <c r="AE7" t="s">
        <v>3</v>
      </c>
      <c r="AF7">
        <v>11.972319126129101</v>
      </c>
      <c r="AG7">
        <v>4.8515529632568297</v>
      </c>
      <c r="AH7">
        <v>16.823872089385901</v>
      </c>
    </row>
    <row r="8" spans="1:34" x14ac:dyDescent="0.2">
      <c r="A8" t="s">
        <v>292</v>
      </c>
      <c r="B8">
        <v>10</v>
      </c>
      <c r="C8">
        <v>10</v>
      </c>
      <c r="D8">
        <v>20</v>
      </c>
      <c r="E8">
        <v>36</v>
      </c>
      <c r="F8">
        <v>3</v>
      </c>
      <c r="G8">
        <v>1024</v>
      </c>
      <c r="H8">
        <v>18</v>
      </c>
      <c r="I8">
        <v>120</v>
      </c>
      <c r="J8">
        <v>138</v>
      </c>
      <c r="K8">
        <v>16</v>
      </c>
      <c r="L8">
        <v>105000</v>
      </c>
      <c r="M8">
        <v>2700000</v>
      </c>
      <c r="N8">
        <v>1</v>
      </c>
      <c r="O8">
        <v>9</v>
      </c>
      <c r="P8">
        <v>7.5010861563244404</v>
      </c>
      <c r="Q8">
        <v>0</v>
      </c>
      <c r="R8">
        <v>550000</v>
      </c>
      <c r="S8">
        <v>7.5010861563244404</v>
      </c>
      <c r="T8">
        <v>0</v>
      </c>
      <c r="U8">
        <v>7.5010861563244404</v>
      </c>
      <c r="V8">
        <v>0</v>
      </c>
      <c r="W8">
        <v>20.7532584689733</v>
      </c>
      <c r="X8">
        <f t="shared" si="0"/>
        <v>450000</v>
      </c>
      <c r="Y8">
        <v>100000</v>
      </c>
      <c r="Z8">
        <v>3</v>
      </c>
      <c r="AA8">
        <v>2</v>
      </c>
      <c r="AB8">
        <v>26</v>
      </c>
      <c r="AC8">
        <v>3</v>
      </c>
      <c r="AD8" t="s">
        <v>9</v>
      </c>
      <c r="AE8" t="s">
        <v>3</v>
      </c>
      <c r="AF8">
        <v>13.5317800045013</v>
      </c>
      <c r="AG8">
        <v>4.3714292049407897</v>
      </c>
      <c r="AH8">
        <v>17.9032092094421</v>
      </c>
    </row>
    <row r="9" spans="1:34" x14ac:dyDescent="0.2">
      <c r="A9" t="s">
        <v>293</v>
      </c>
      <c r="B9">
        <v>10</v>
      </c>
      <c r="C9">
        <v>10</v>
      </c>
      <c r="D9">
        <v>20</v>
      </c>
      <c r="E9">
        <v>36</v>
      </c>
      <c r="F9">
        <v>3</v>
      </c>
      <c r="G9">
        <v>935</v>
      </c>
      <c r="H9">
        <v>14</v>
      </c>
      <c r="I9">
        <v>120</v>
      </c>
      <c r="J9">
        <v>134</v>
      </c>
      <c r="K9">
        <v>19</v>
      </c>
      <c r="L9">
        <v>105000</v>
      </c>
      <c r="M9">
        <v>2700000</v>
      </c>
      <c r="N9">
        <v>0</v>
      </c>
      <c r="O9">
        <v>10</v>
      </c>
      <c r="P9">
        <v>10.5604950347146</v>
      </c>
      <c r="Q9">
        <v>0</v>
      </c>
      <c r="R9">
        <v>850000</v>
      </c>
      <c r="S9">
        <v>10.5604950347146</v>
      </c>
      <c r="T9">
        <v>0</v>
      </c>
      <c r="U9">
        <v>10.5604950347146</v>
      </c>
      <c r="V9">
        <v>0</v>
      </c>
      <c r="W9">
        <v>29.4314851041438</v>
      </c>
      <c r="X9">
        <f t="shared" si="0"/>
        <v>750000</v>
      </c>
      <c r="Y9">
        <v>100000</v>
      </c>
      <c r="Z9">
        <v>5</v>
      </c>
      <c r="AA9">
        <v>2</v>
      </c>
      <c r="AB9">
        <v>34</v>
      </c>
      <c r="AC9">
        <v>6</v>
      </c>
      <c r="AD9" t="s">
        <v>10</v>
      </c>
      <c r="AE9" t="s">
        <v>3</v>
      </c>
      <c r="AF9">
        <v>11.5264971256256</v>
      </c>
      <c r="AG9">
        <v>4.1621809005737296</v>
      </c>
      <c r="AH9">
        <v>15.6886780261993</v>
      </c>
    </row>
    <row r="10" spans="1:34" x14ac:dyDescent="0.2">
      <c r="A10" t="s">
        <v>294</v>
      </c>
      <c r="B10">
        <v>10</v>
      </c>
      <c r="C10">
        <v>10</v>
      </c>
      <c r="D10">
        <v>20</v>
      </c>
      <c r="E10">
        <v>36</v>
      </c>
      <c r="F10">
        <v>3</v>
      </c>
      <c r="G10">
        <v>851</v>
      </c>
      <c r="H10">
        <v>14</v>
      </c>
      <c r="I10">
        <v>120</v>
      </c>
      <c r="J10">
        <v>134</v>
      </c>
      <c r="K10">
        <v>20</v>
      </c>
      <c r="L10">
        <v>105000</v>
      </c>
      <c r="M10">
        <v>2700000</v>
      </c>
      <c r="N10">
        <v>2</v>
      </c>
      <c r="O10">
        <v>8</v>
      </c>
      <c r="P10">
        <v>17.382297834192201</v>
      </c>
      <c r="Q10" s="1">
        <v>9.3359013371284296E-6</v>
      </c>
      <c r="R10">
        <v>1000000</v>
      </c>
      <c r="S10">
        <v>17.3824601151248</v>
      </c>
      <c r="T10">
        <v>0</v>
      </c>
      <c r="U10">
        <v>17.3824601151248</v>
      </c>
      <c r="V10">
        <v>0</v>
      </c>
      <c r="W10">
        <v>47.647380345374501</v>
      </c>
      <c r="X10">
        <f t="shared" si="0"/>
        <v>900000</v>
      </c>
      <c r="Y10">
        <v>100000</v>
      </c>
      <c r="Z10">
        <v>6</v>
      </c>
      <c r="AA10">
        <v>2</v>
      </c>
      <c r="AB10">
        <v>46</v>
      </c>
      <c r="AC10">
        <v>8</v>
      </c>
      <c r="AD10" t="s">
        <v>11</v>
      </c>
      <c r="AE10" t="s">
        <v>12</v>
      </c>
      <c r="AF10">
        <v>10.630830049514699</v>
      </c>
      <c r="AG10">
        <v>12.5811069011688</v>
      </c>
      <c r="AH10">
        <v>23.211936950683501</v>
      </c>
    </row>
    <row r="11" spans="1:34" x14ac:dyDescent="0.2">
      <c r="A11" t="s">
        <v>295</v>
      </c>
      <c r="B11">
        <v>10</v>
      </c>
      <c r="C11">
        <v>10</v>
      </c>
      <c r="D11">
        <v>20</v>
      </c>
      <c r="E11">
        <v>36</v>
      </c>
      <c r="F11">
        <v>3</v>
      </c>
      <c r="G11">
        <v>971</v>
      </c>
      <c r="H11">
        <v>11</v>
      </c>
      <c r="I11">
        <v>120</v>
      </c>
      <c r="J11">
        <v>131</v>
      </c>
      <c r="K11">
        <v>22</v>
      </c>
      <c r="L11">
        <v>105000</v>
      </c>
      <c r="M11">
        <v>2700000</v>
      </c>
      <c r="N11">
        <v>0</v>
      </c>
      <c r="O11">
        <v>10</v>
      </c>
      <c r="P11">
        <v>15.0876473125918</v>
      </c>
      <c r="Q11">
        <v>0</v>
      </c>
      <c r="R11">
        <v>700000</v>
      </c>
      <c r="S11">
        <v>15.0876473125918</v>
      </c>
      <c r="T11">
        <v>0</v>
      </c>
      <c r="U11">
        <v>15.0876473125918</v>
      </c>
      <c r="V11">
        <v>0</v>
      </c>
      <c r="W11">
        <v>42.012941937775501</v>
      </c>
      <c r="X11">
        <f t="shared" si="0"/>
        <v>600000</v>
      </c>
      <c r="Y11">
        <v>100000</v>
      </c>
      <c r="Z11">
        <v>4</v>
      </c>
      <c r="AA11">
        <v>2</v>
      </c>
      <c r="AB11">
        <v>47</v>
      </c>
      <c r="AC11">
        <v>12</v>
      </c>
      <c r="AD11" t="s">
        <v>13</v>
      </c>
      <c r="AE11" t="s">
        <v>1</v>
      </c>
      <c r="AF11">
        <v>12.001085996627801</v>
      </c>
      <c r="AG11">
        <v>9.3939309120178205</v>
      </c>
      <c r="AH11">
        <v>21.395016908645601</v>
      </c>
    </row>
    <row r="12" spans="1:34" x14ac:dyDescent="0.2">
      <c r="A12" t="s">
        <v>296</v>
      </c>
      <c r="B12">
        <v>20</v>
      </c>
      <c r="C12">
        <v>20</v>
      </c>
      <c r="D12">
        <v>40</v>
      </c>
      <c r="E12">
        <v>36</v>
      </c>
      <c r="F12">
        <v>3</v>
      </c>
      <c r="G12">
        <v>1670</v>
      </c>
      <c r="H12">
        <v>32</v>
      </c>
      <c r="I12">
        <v>120</v>
      </c>
      <c r="J12">
        <v>152</v>
      </c>
      <c r="K12">
        <v>33</v>
      </c>
      <c r="L12">
        <v>105000</v>
      </c>
      <c r="M12">
        <v>2700000</v>
      </c>
      <c r="N12">
        <v>4</v>
      </c>
      <c r="O12">
        <v>16</v>
      </c>
      <c r="P12">
        <v>18.4355457317779</v>
      </c>
      <c r="Q12">
        <v>0</v>
      </c>
      <c r="R12">
        <v>850000</v>
      </c>
      <c r="S12">
        <v>18.4355457317779</v>
      </c>
      <c r="T12">
        <v>0</v>
      </c>
      <c r="U12">
        <v>18.4355457317779</v>
      </c>
      <c r="V12">
        <v>0</v>
      </c>
      <c r="W12">
        <v>25.5283185976668</v>
      </c>
      <c r="X12">
        <f t="shared" si="0"/>
        <v>750000</v>
      </c>
      <c r="Y12">
        <v>100000</v>
      </c>
      <c r="Z12">
        <v>5</v>
      </c>
      <c r="AA12">
        <v>2</v>
      </c>
      <c r="AB12">
        <v>57</v>
      </c>
      <c r="AC12">
        <v>7</v>
      </c>
      <c r="AD12" t="s">
        <v>14</v>
      </c>
      <c r="AE12" t="s">
        <v>3</v>
      </c>
      <c r="AF12">
        <v>50.414642810821498</v>
      </c>
      <c r="AG12">
        <v>16.8379802703857</v>
      </c>
      <c r="AH12">
        <v>67.252623081207204</v>
      </c>
    </row>
    <row r="13" spans="1:34" x14ac:dyDescent="0.2">
      <c r="A13" t="s">
        <v>297</v>
      </c>
      <c r="B13">
        <v>20</v>
      </c>
      <c r="C13">
        <v>20</v>
      </c>
      <c r="D13">
        <v>40</v>
      </c>
      <c r="E13">
        <v>36</v>
      </c>
      <c r="F13">
        <v>3</v>
      </c>
      <c r="G13">
        <v>1743</v>
      </c>
      <c r="H13">
        <v>29</v>
      </c>
      <c r="I13">
        <v>120</v>
      </c>
      <c r="J13">
        <v>149</v>
      </c>
      <c r="K13">
        <v>41</v>
      </c>
      <c r="L13">
        <v>105000</v>
      </c>
      <c r="M13">
        <v>2700000</v>
      </c>
      <c r="N13">
        <v>0</v>
      </c>
      <c r="O13">
        <v>20</v>
      </c>
      <c r="P13">
        <v>23.6632212970819</v>
      </c>
      <c r="Q13">
        <v>0</v>
      </c>
      <c r="R13">
        <v>1300000</v>
      </c>
      <c r="S13">
        <v>23.6632212970819</v>
      </c>
      <c r="T13">
        <v>0</v>
      </c>
      <c r="U13">
        <v>23.6632212970819</v>
      </c>
      <c r="V13">
        <v>0</v>
      </c>
      <c r="W13">
        <v>33.115576053416802</v>
      </c>
      <c r="X13">
        <f t="shared" si="0"/>
        <v>900000</v>
      </c>
      <c r="Y13">
        <v>100000</v>
      </c>
      <c r="Z13">
        <v>6</v>
      </c>
      <c r="AA13">
        <v>2</v>
      </c>
      <c r="AB13">
        <v>75</v>
      </c>
      <c r="AC13">
        <v>16</v>
      </c>
      <c r="AD13" t="s">
        <v>15</v>
      </c>
      <c r="AE13" t="s">
        <v>3</v>
      </c>
      <c r="AF13">
        <v>51.117758274078298</v>
      </c>
      <c r="AG13">
        <v>36.710703849792402</v>
      </c>
      <c r="AH13">
        <v>87.828462123870807</v>
      </c>
    </row>
    <row r="14" spans="1:34" x14ac:dyDescent="0.2">
      <c r="A14" t="s">
        <v>298</v>
      </c>
      <c r="B14">
        <v>20</v>
      </c>
      <c r="C14">
        <v>20</v>
      </c>
      <c r="D14">
        <v>40</v>
      </c>
      <c r="E14">
        <v>36</v>
      </c>
      <c r="F14">
        <v>3</v>
      </c>
      <c r="G14">
        <v>1583</v>
      </c>
      <c r="H14">
        <v>28</v>
      </c>
      <c r="I14">
        <v>120</v>
      </c>
      <c r="J14">
        <v>148</v>
      </c>
      <c r="K14">
        <v>43</v>
      </c>
      <c r="L14">
        <v>105000</v>
      </c>
      <c r="M14">
        <v>2700000</v>
      </c>
      <c r="N14">
        <v>3</v>
      </c>
      <c r="O14">
        <v>17</v>
      </c>
      <c r="P14">
        <v>32.943420041709203</v>
      </c>
      <c r="Q14">
        <v>0</v>
      </c>
      <c r="R14">
        <v>1300000</v>
      </c>
      <c r="S14">
        <v>32.943420041709203</v>
      </c>
      <c r="T14">
        <v>0</v>
      </c>
      <c r="U14">
        <v>32.943420041709203</v>
      </c>
      <c r="V14">
        <v>0</v>
      </c>
      <c r="W14">
        <v>45.915130062563897</v>
      </c>
      <c r="X14">
        <f t="shared" si="0"/>
        <v>1200000</v>
      </c>
      <c r="Y14">
        <v>100000</v>
      </c>
      <c r="Z14">
        <v>8</v>
      </c>
      <c r="AA14">
        <v>2</v>
      </c>
      <c r="AB14">
        <v>92</v>
      </c>
      <c r="AC14">
        <v>21</v>
      </c>
      <c r="AD14" t="s">
        <v>16</v>
      </c>
      <c r="AE14" t="s">
        <v>3</v>
      </c>
      <c r="AF14">
        <v>45.4097192287445</v>
      </c>
      <c r="AG14">
        <v>16.282850980758599</v>
      </c>
      <c r="AH14">
        <v>61.692570209503103</v>
      </c>
    </row>
    <row r="15" spans="1:34" x14ac:dyDescent="0.2">
      <c r="A15" t="s">
        <v>299</v>
      </c>
      <c r="B15">
        <v>20</v>
      </c>
      <c r="C15">
        <v>20</v>
      </c>
      <c r="D15">
        <v>40</v>
      </c>
      <c r="E15">
        <v>36</v>
      </c>
      <c r="F15">
        <v>3</v>
      </c>
      <c r="G15">
        <v>1739</v>
      </c>
      <c r="H15">
        <v>30</v>
      </c>
      <c r="I15">
        <v>120</v>
      </c>
      <c r="J15">
        <v>150</v>
      </c>
      <c r="K15">
        <v>40</v>
      </c>
      <c r="L15">
        <v>105000</v>
      </c>
      <c r="M15">
        <v>2700000</v>
      </c>
      <c r="N15">
        <v>1</v>
      </c>
      <c r="O15">
        <v>19</v>
      </c>
      <c r="P15">
        <v>22.794639633259902</v>
      </c>
      <c r="Q15">
        <v>0</v>
      </c>
      <c r="R15">
        <v>1000000</v>
      </c>
      <c r="S15">
        <v>22.794639633259902</v>
      </c>
      <c r="T15">
        <v>0</v>
      </c>
      <c r="U15">
        <v>22.794639633259902</v>
      </c>
      <c r="V15">
        <v>0</v>
      </c>
      <c r="W15">
        <v>32.6919594498899</v>
      </c>
      <c r="X15">
        <f t="shared" si="0"/>
        <v>900000</v>
      </c>
      <c r="Y15">
        <v>100000</v>
      </c>
      <c r="Z15">
        <v>6</v>
      </c>
      <c r="AA15">
        <v>2</v>
      </c>
      <c r="AB15">
        <v>64</v>
      </c>
      <c r="AC15">
        <v>12</v>
      </c>
      <c r="AD15" t="s">
        <v>17</v>
      </c>
      <c r="AE15" t="s">
        <v>12</v>
      </c>
      <c r="AF15">
        <v>51.192845821380601</v>
      </c>
      <c r="AG15">
        <v>37.4832150936126</v>
      </c>
      <c r="AH15">
        <v>88.676060914993201</v>
      </c>
    </row>
    <row r="16" spans="1:34" x14ac:dyDescent="0.2">
      <c r="A16" t="s">
        <v>300</v>
      </c>
      <c r="B16">
        <v>20</v>
      </c>
      <c r="C16">
        <v>20</v>
      </c>
      <c r="D16">
        <v>40</v>
      </c>
      <c r="E16">
        <v>36</v>
      </c>
      <c r="F16">
        <v>3</v>
      </c>
      <c r="G16">
        <v>1717</v>
      </c>
      <c r="H16">
        <v>30</v>
      </c>
      <c r="I16">
        <v>120</v>
      </c>
      <c r="J16">
        <v>150</v>
      </c>
      <c r="K16">
        <v>33</v>
      </c>
      <c r="L16">
        <v>105000</v>
      </c>
      <c r="M16">
        <v>2700000</v>
      </c>
      <c r="N16">
        <v>6</v>
      </c>
      <c r="O16">
        <v>14</v>
      </c>
      <c r="P16">
        <v>18.196679699128801</v>
      </c>
      <c r="Q16">
        <v>0</v>
      </c>
      <c r="R16">
        <v>2350000</v>
      </c>
      <c r="S16">
        <v>18.196679699128801</v>
      </c>
      <c r="T16">
        <v>0</v>
      </c>
      <c r="U16">
        <v>18.196679699128801</v>
      </c>
      <c r="V16">
        <v>0</v>
      </c>
      <c r="W16">
        <v>25.918138040819699</v>
      </c>
      <c r="X16">
        <f t="shared" si="0"/>
        <v>900000</v>
      </c>
      <c r="Y16">
        <v>100000</v>
      </c>
      <c r="Z16">
        <v>6</v>
      </c>
      <c r="AA16">
        <v>2</v>
      </c>
      <c r="AB16">
        <v>52</v>
      </c>
      <c r="AC16">
        <v>9</v>
      </c>
      <c r="AD16" t="s">
        <v>18</v>
      </c>
      <c r="AE16" t="s">
        <v>3</v>
      </c>
      <c r="AF16">
        <v>50.597734928131104</v>
      </c>
      <c r="AG16">
        <v>23.572059154510399</v>
      </c>
      <c r="AH16">
        <v>74.169794082641602</v>
      </c>
    </row>
    <row r="17" spans="1:34" x14ac:dyDescent="0.2">
      <c r="A17" t="s">
        <v>301</v>
      </c>
      <c r="B17">
        <v>20</v>
      </c>
      <c r="C17">
        <v>20</v>
      </c>
      <c r="D17">
        <v>40</v>
      </c>
      <c r="E17">
        <v>36</v>
      </c>
      <c r="F17">
        <v>3</v>
      </c>
      <c r="G17">
        <v>1594</v>
      </c>
      <c r="H17">
        <v>31</v>
      </c>
      <c r="I17">
        <v>120</v>
      </c>
      <c r="J17">
        <v>151</v>
      </c>
      <c r="K17">
        <v>34</v>
      </c>
      <c r="L17">
        <v>105000</v>
      </c>
      <c r="M17">
        <v>2700000</v>
      </c>
      <c r="N17">
        <v>1</v>
      </c>
      <c r="O17">
        <v>19</v>
      </c>
      <c r="P17">
        <v>18.1464971044898</v>
      </c>
      <c r="Q17">
        <v>0</v>
      </c>
      <c r="R17">
        <v>1300000</v>
      </c>
      <c r="S17">
        <v>18.1464971044898</v>
      </c>
      <c r="T17">
        <v>0</v>
      </c>
      <c r="U17">
        <v>18.1464971044898</v>
      </c>
      <c r="V17">
        <v>0</v>
      </c>
      <c r="W17">
        <v>25.719745656734801</v>
      </c>
      <c r="X17">
        <f t="shared" si="0"/>
        <v>1050000</v>
      </c>
      <c r="Y17">
        <v>100000</v>
      </c>
      <c r="Z17">
        <v>7</v>
      </c>
      <c r="AA17">
        <v>2</v>
      </c>
      <c r="AB17">
        <v>54</v>
      </c>
      <c r="AC17">
        <v>8</v>
      </c>
      <c r="AD17" t="s">
        <v>19</v>
      </c>
      <c r="AE17" t="s">
        <v>12</v>
      </c>
      <c r="AF17">
        <v>46.080895900726297</v>
      </c>
      <c r="AG17">
        <v>25.405872821807801</v>
      </c>
      <c r="AH17">
        <v>71.486768722534094</v>
      </c>
    </row>
    <row r="18" spans="1:34" x14ac:dyDescent="0.2">
      <c r="A18" t="s">
        <v>302</v>
      </c>
      <c r="B18">
        <v>20</v>
      </c>
      <c r="C18">
        <v>20</v>
      </c>
      <c r="D18">
        <v>40</v>
      </c>
      <c r="E18">
        <v>36</v>
      </c>
      <c r="F18">
        <v>3</v>
      </c>
      <c r="G18">
        <v>1821</v>
      </c>
      <c r="H18">
        <v>31</v>
      </c>
      <c r="I18">
        <v>120</v>
      </c>
      <c r="J18">
        <v>151</v>
      </c>
      <c r="K18">
        <v>37</v>
      </c>
      <c r="L18">
        <v>105000</v>
      </c>
      <c r="M18">
        <v>2700000</v>
      </c>
      <c r="N18">
        <v>4</v>
      </c>
      <c r="O18">
        <v>16</v>
      </c>
      <c r="P18">
        <v>19.760804665560901</v>
      </c>
      <c r="Q18">
        <v>0</v>
      </c>
      <c r="R18">
        <v>1150000</v>
      </c>
      <c r="S18">
        <v>19.760804665560901</v>
      </c>
      <c r="T18">
        <v>0</v>
      </c>
      <c r="U18">
        <v>19.760804665560901</v>
      </c>
      <c r="V18">
        <v>0</v>
      </c>
      <c r="W18">
        <v>27.641206998341399</v>
      </c>
      <c r="X18">
        <f t="shared" si="0"/>
        <v>1050000</v>
      </c>
      <c r="Y18">
        <v>100000</v>
      </c>
      <c r="Z18">
        <v>7</v>
      </c>
      <c r="AA18">
        <v>2</v>
      </c>
      <c r="AB18">
        <v>62</v>
      </c>
      <c r="AC18">
        <v>9</v>
      </c>
      <c r="AD18" t="s">
        <v>20</v>
      </c>
      <c r="AE18" t="s">
        <v>1</v>
      </c>
      <c r="AF18">
        <v>54.4817311763763</v>
      </c>
      <c r="AG18">
        <v>25.330277919769198</v>
      </c>
      <c r="AH18">
        <v>79.812009096145601</v>
      </c>
    </row>
    <row r="19" spans="1:34" x14ac:dyDescent="0.2">
      <c r="A19" t="s">
        <v>303</v>
      </c>
      <c r="B19">
        <v>20</v>
      </c>
      <c r="C19">
        <v>20</v>
      </c>
      <c r="D19">
        <v>40</v>
      </c>
      <c r="E19">
        <v>36</v>
      </c>
      <c r="F19">
        <v>3</v>
      </c>
      <c r="G19">
        <v>1622</v>
      </c>
      <c r="H19">
        <v>27</v>
      </c>
      <c r="I19">
        <v>120</v>
      </c>
      <c r="J19">
        <v>147</v>
      </c>
      <c r="K19">
        <v>38</v>
      </c>
      <c r="L19">
        <v>105000</v>
      </c>
      <c r="M19">
        <v>2700000</v>
      </c>
      <c r="N19">
        <v>2</v>
      </c>
      <c r="O19">
        <v>18</v>
      </c>
      <c r="P19">
        <v>23.6038108825623</v>
      </c>
      <c r="Q19">
        <v>0</v>
      </c>
      <c r="R19">
        <v>700000</v>
      </c>
      <c r="S19">
        <v>23.6038108825623</v>
      </c>
      <c r="T19">
        <v>0</v>
      </c>
      <c r="U19">
        <v>23.6038108825623</v>
      </c>
      <c r="V19">
        <v>0</v>
      </c>
      <c r="W19">
        <v>33.276460431637403</v>
      </c>
      <c r="X19">
        <f t="shared" si="0"/>
        <v>600000</v>
      </c>
      <c r="Y19">
        <v>100000</v>
      </c>
      <c r="Z19">
        <v>4</v>
      </c>
      <c r="AA19">
        <v>2</v>
      </c>
      <c r="AB19">
        <v>67</v>
      </c>
      <c r="AC19">
        <v>13</v>
      </c>
      <c r="AD19" t="s">
        <v>21</v>
      </c>
      <c r="AE19" t="s">
        <v>3</v>
      </c>
      <c r="AF19">
        <v>46.753374099731403</v>
      </c>
      <c r="AG19">
        <v>32.890645027160602</v>
      </c>
      <c r="AH19">
        <v>79.644019126892005</v>
      </c>
    </row>
    <row r="20" spans="1:34" x14ac:dyDescent="0.2">
      <c r="A20" t="s">
        <v>304</v>
      </c>
      <c r="B20">
        <v>20</v>
      </c>
      <c r="C20">
        <v>20</v>
      </c>
      <c r="D20">
        <v>40</v>
      </c>
      <c r="E20">
        <v>36</v>
      </c>
      <c r="F20">
        <v>3</v>
      </c>
      <c r="G20">
        <v>1726</v>
      </c>
      <c r="H20">
        <v>37</v>
      </c>
      <c r="I20">
        <v>120</v>
      </c>
      <c r="J20">
        <v>157</v>
      </c>
      <c r="K20">
        <v>39</v>
      </c>
      <c r="L20">
        <v>105000</v>
      </c>
      <c r="M20">
        <v>2700000</v>
      </c>
      <c r="N20">
        <v>5</v>
      </c>
      <c r="O20">
        <v>15</v>
      </c>
      <c r="P20">
        <v>22.852053700559001</v>
      </c>
      <c r="Q20">
        <v>0</v>
      </c>
      <c r="R20">
        <v>850000</v>
      </c>
      <c r="S20">
        <v>22.852053700559001</v>
      </c>
      <c r="T20">
        <v>0</v>
      </c>
      <c r="U20">
        <v>22.852053700559001</v>
      </c>
      <c r="V20">
        <v>0</v>
      </c>
      <c r="W20">
        <v>32.153080550838503</v>
      </c>
      <c r="X20">
        <f t="shared" si="0"/>
        <v>750000</v>
      </c>
      <c r="Y20">
        <v>100000</v>
      </c>
      <c r="Z20">
        <v>5</v>
      </c>
      <c r="AA20">
        <v>2</v>
      </c>
      <c r="AB20">
        <v>60</v>
      </c>
      <c r="AC20">
        <v>4</v>
      </c>
      <c r="AD20" t="s">
        <v>22</v>
      </c>
      <c r="AE20" t="s">
        <v>3</v>
      </c>
      <c r="AF20">
        <v>52.968541860580402</v>
      </c>
      <c r="AG20">
        <v>16.091053962707502</v>
      </c>
      <c r="AH20">
        <v>69.059595823287907</v>
      </c>
    </row>
    <row r="21" spans="1:34" x14ac:dyDescent="0.2">
      <c r="A21" t="s">
        <v>305</v>
      </c>
      <c r="B21">
        <v>20</v>
      </c>
      <c r="C21">
        <v>20</v>
      </c>
      <c r="D21">
        <v>40</v>
      </c>
      <c r="E21">
        <v>36</v>
      </c>
      <c r="F21">
        <v>3</v>
      </c>
      <c r="G21">
        <v>1646</v>
      </c>
      <c r="H21">
        <v>29</v>
      </c>
      <c r="I21">
        <v>120</v>
      </c>
      <c r="J21">
        <v>149</v>
      </c>
      <c r="K21">
        <v>41</v>
      </c>
      <c r="L21">
        <v>105000</v>
      </c>
      <c r="M21">
        <v>2700000</v>
      </c>
      <c r="N21">
        <v>2</v>
      </c>
      <c r="O21">
        <v>18</v>
      </c>
      <c r="P21">
        <v>27.5886923837915</v>
      </c>
      <c r="Q21">
        <v>0</v>
      </c>
      <c r="R21">
        <v>1000000</v>
      </c>
      <c r="S21">
        <v>27.5886923837915</v>
      </c>
      <c r="T21">
        <v>0</v>
      </c>
      <c r="U21">
        <v>27.5886923837914</v>
      </c>
      <c r="V21">
        <v>0</v>
      </c>
      <c r="W21">
        <v>38.378782683481099</v>
      </c>
      <c r="X21">
        <f t="shared" si="0"/>
        <v>900000</v>
      </c>
      <c r="Y21">
        <v>100000</v>
      </c>
      <c r="Z21">
        <v>6</v>
      </c>
      <c r="AA21">
        <v>2</v>
      </c>
      <c r="AB21">
        <v>80</v>
      </c>
      <c r="AC21">
        <v>16</v>
      </c>
      <c r="AD21" t="s">
        <v>23</v>
      </c>
      <c r="AE21" t="s">
        <v>3</v>
      </c>
      <c r="AF21">
        <v>47.638798713683997</v>
      </c>
      <c r="AG21">
        <v>27.3656389713287</v>
      </c>
      <c r="AH21">
        <v>75.004437685012803</v>
      </c>
    </row>
    <row r="22" spans="1:34" x14ac:dyDescent="0.2">
      <c r="A22" t="s">
        <v>306</v>
      </c>
      <c r="B22">
        <v>30</v>
      </c>
      <c r="C22">
        <v>30</v>
      </c>
      <c r="D22">
        <v>60</v>
      </c>
      <c r="E22">
        <v>36</v>
      </c>
      <c r="F22">
        <v>3</v>
      </c>
      <c r="G22">
        <v>2685</v>
      </c>
      <c r="H22">
        <v>45</v>
      </c>
      <c r="I22">
        <v>120</v>
      </c>
      <c r="J22">
        <v>165</v>
      </c>
      <c r="K22">
        <v>59</v>
      </c>
      <c r="L22">
        <v>105000</v>
      </c>
      <c r="M22">
        <v>2700000</v>
      </c>
      <c r="N22">
        <v>3</v>
      </c>
      <c r="O22">
        <v>27</v>
      </c>
      <c r="P22">
        <v>36.355978565502397</v>
      </c>
      <c r="Q22">
        <v>0</v>
      </c>
      <c r="R22">
        <v>1600000</v>
      </c>
      <c r="S22">
        <v>36.355978565502397</v>
      </c>
      <c r="T22">
        <v>0</v>
      </c>
      <c r="U22">
        <v>36.355978565502397</v>
      </c>
      <c r="V22">
        <v>0</v>
      </c>
      <c r="W22">
        <v>34.022645232169097</v>
      </c>
      <c r="X22">
        <f t="shared" si="0"/>
        <v>1500000</v>
      </c>
      <c r="Y22">
        <v>100000</v>
      </c>
      <c r="Z22">
        <v>10</v>
      </c>
      <c r="AA22">
        <v>2</v>
      </c>
      <c r="AB22">
        <v>109</v>
      </c>
      <c r="AC22">
        <v>22</v>
      </c>
      <c r="AD22" t="s">
        <v>24</v>
      </c>
      <c r="AE22" t="s">
        <v>1</v>
      </c>
      <c r="AF22">
        <v>136.95418095588599</v>
      </c>
      <c r="AG22">
        <v>92.407225131988497</v>
      </c>
      <c r="AH22">
        <v>229.361406087875</v>
      </c>
    </row>
    <row r="23" spans="1:34" x14ac:dyDescent="0.2">
      <c r="A23" t="s">
        <v>307</v>
      </c>
      <c r="B23">
        <v>30</v>
      </c>
      <c r="C23">
        <v>30</v>
      </c>
      <c r="D23">
        <v>60</v>
      </c>
      <c r="E23">
        <v>36</v>
      </c>
      <c r="F23">
        <v>3</v>
      </c>
      <c r="G23">
        <v>2496</v>
      </c>
      <c r="H23">
        <v>50</v>
      </c>
      <c r="I23">
        <v>120</v>
      </c>
      <c r="J23">
        <v>170</v>
      </c>
      <c r="K23">
        <v>57</v>
      </c>
      <c r="L23">
        <v>105000</v>
      </c>
      <c r="M23">
        <v>2700000</v>
      </c>
      <c r="N23">
        <v>0</v>
      </c>
      <c r="O23">
        <v>30</v>
      </c>
      <c r="P23">
        <v>41.941696866512501</v>
      </c>
      <c r="Q23">
        <v>0</v>
      </c>
      <c r="R23">
        <v>1450001.35746606</v>
      </c>
      <c r="S23">
        <v>41.941696866512501</v>
      </c>
      <c r="T23">
        <v>0</v>
      </c>
      <c r="U23">
        <v>41.941696866512501</v>
      </c>
      <c r="V23">
        <v>0</v>
      </c>
      <c r="W23">
        <v>38.275030199845901</v>
      </c>
      <c r="X23">
        <f t="shared" si="0"/>
        <v>1800000</v>
      </c>
      <c r="Y23">
        <v>100000</v>
      </c>
      <c r="Z23">
        <v>12</v>
      </c>
      <c r="AA23">
        <v>2</v>
      </c>
      <c r="AB23">
        <v>114</v>
      </c>
      <c r="AC23">
        <v>13</v>
      </c>
      <c r="AD23" t="s">
        <v>25</v>
      </c>
      <c r="AE23" t="s">
        <v>3</v>
      </c>
      <c r="AF23">
        <v>126.695063114166</v>
      </c>
      <c r="AG23">
        <v>31.956833124160699</v>
      </c>
      <c r="AH23">
        <v>158.651896238327</v>
      </c>
    </row>
    <row r="24" spans="1:34" x14ac:dyDescent="0.2">
      <c r="A24" t="s">
        <v>308</v>
      </c>
      <c r="B24">
        <v>30</v>
      </c>
      <c r="C24">
        <v>30</v>
      </c>
      <c r="D24">
        <v>60</v>
      </c>
      <c r="E24">
        <v>36</v>
      </c>
      <c r="F24">
        <v>3</v>
      </c>
      <c r="G24">
        <v>2583</v>
      </c>
      <c r="H24">
        <v>56</v>
      </c>
      <c r="I24">
        <v>120</v>
      </c>
      <c r="J24">
        <v>176</v>
      </c>
      <c r="K24">
        <v>56</v>
      </c>
      <c r="L24">
        <v>105000</v>
      </c>
      <c r="M24">
        <v>2700000</v>
      </c>
      <c r="N24">
        <v>8</v>
      </c>
      <c r="O24">
        <v>22</v>
      </c>
      <c r="P24">
        <v>37.8338950533606</v>
      </c>
      <c r="Q24" s="1">
        <v>6.4966984332569001E-5</v>
      </c>
      <c r="R24">
        <v>2050000</v>
      </c>
      <c r="S24">
        <v>37.836353167124003</v>
      </c>
      <c r="T24">
        <v>0</v>
      </c>
      <c r="U24">
        <v>37.836353167124003</v>
      </c>
      <c r="V24">
        <v>0</v>
      </c>
      <c r="W24">
        <v>34.753019833790702</v>
      </c>
      <c r="X24">
        <f t="shared" si="0"/>
        <v>1950000</v>
      </c>
      <c r="Y24">
        <v>100000</v>
      </c>
      <c r="Z24">
        <v>13</v>
      </c>
      <c r="AA24">
        <v>2</v>
      </c>
      <c r="AB24">
        <v>104</v>
      </c>
      <c r="AC24">
        <v>11</v>
      </c>
      <c r="AD24" t="s">
        <v>26</v>
      </c>
      <c r="AE24" t="s">
        <v>1</v>
      </c>
      <c r="AF24">
        <v>135.830897331237</v>
      </c>
      <c r="AG24">
        <v>43.939877986907902</v>
      </c>
      <c r="AH24">
        <v>179.77077531814501</v>
      </c>
    </row>
    <row r="25" spans="1:34" x14ac:dyDescent="0.2">
      <c r="A25" t="s">
        <v>309</v>
      </c>
      <c r="B25">
        <v>30</v>
      </c>
      <c r="C25">
        <v>30</v>
      </c>
      <c r="D25">
        <v>60</v>
      </c>
      <c r="E25">
        <v>36</v>
      </c>
      <c r="F25">
        <v>3</v>
      </c>
      <c r="G25">
        <v>2655</v>
      </c>
      <c r="H25">
        <v>41</v>
      </c>
      <c r="I25">
        <v>120</v>
      </c>
      <c r="J25">
        <v>161</v>
      </c>
      <c r="K25">
        <v>61</v>
      </c>
      <c r="L25">
        <v>105000</v>
      </c>
      <c r="M25">
        <v>2700000</v>
      </c>
      <c r="N25">
        <v>1</v>
      </c>
      <c r="O25">
        <v>29</v>
      </c>
      <c r="P25">
        <v>39.179539171813197</v>
      </c>
      <c r="Q25">
        <v>0</v>
      </c>
      <c r="R25">
        <v>1450000</v>
      </c>
      <c r="S25">
        <v>39.179539171813197</v>
      </c>
      <c r="T25">
        <v>0</v>
      </c>
      <c r="U25">
        <v>39.179539171813197</v>
      </c>
      <c r="V25">
        <v>0</v>
      </c>
      <c r="W25">
        <v>36.512872505146603</v>
      </c>
      <c r="X25">
        <f t="shared" si="0"/>
        <v>1350000</v>
      </c>
      <c r="Y25">
        <v>100000</v>
      </c>
      <c r="Z25">
        <v>9</v>
      </c>
      <c r="AA25">
        <v>2</v>
      </c>
      <c r="AB25">
        <v>113</v>
      </c>
      <c r="AC25">
        <v>20</v>
      </c>
      <c r="AD25" t="s">
        <v>27</v>
      </c>
      <c r="AE25" t="s">
        <v>1</v>
      </c>
      <c r="AF25">
        <v>131.89820909500099</v>
      </c>
      <c r="AG25">
        <v>100.98487091064401</v>
      </c>
      <c r="AH25">
        <v>232.88308000564501</v>
      </c>
    </row>
    <row r="26" spans="1:34" x14ac:dyDescent="0.2">
      <c r="A26" t="s">
        <v>310</v>
      </c>
      <c r="B26">
        <v>30</v>
      </c>
      <c r="C26">
        <v>30</v>
      </c>
      <c r="D26">
        <v>60</v>
      </c>
      <c r="E26">
        <v>36</v>
      </c>
      <c r="F26">
        <v>3</v>
      </c>
      <c r="G26">
        <v>2714</v>
      </c>
      <c r="H26">
        <v>45</v>
      </c>
      <c r="I26">
        <v>120</v>
      </c>
      <c r="J26">
        <v>165</v>
      </c>
      <c r="K26">
        <v>52</v>
      </c>
      <c r="L26">
        <v>105000</v>
      </c>
      <c r="M26">
        <v>2700000</v>
      </c>
      <c r="N26">
        <v>4</v>
      </c>
      <c r="O26">
        <v>26</v>
      </c>
      <c r="P26">
        <v>28.637649902619899</v>
      </c>
      <c r="Q26">
        <v>0</v>
      </c>
      <c r="R26">
        <v>2350000</v>
      </c>
      <c r="S26">
        <v>28.637649902619899</v>
      </c>
      <c r="T26">
        <v>0</v>
      </c>
      <c r="U26">
        <v>28.637649902619899</v>
      </c>
      <c r="V26">
        <v>0</v>
      </c>
      <c r="W26">
        <v>26.553652301859699</v>
      </c>
      <c r="X26">
        <f t="shared" si="0"/>
        <v>1200000</v>
      </c>
      <c r="Y26">
        <v>100000</v>
      </c>
      <c r="Z26">
        <v>8</v>
      </c>
      <c r="AA26">
        <v>2</v>
      </c>
      <c r="AB26">
        <v>89</v>
      </c>
      <c r="AC26">
        <v>13</v>
      </c>
      <c r="AD26" t="s">
        <v>28</v>
      </c>
      <c r="AE26" t="s">
        <v>1</v>
      </c>
      <c r="AF26">
        <v>135.332039117813</v>
      </c>
      <c r="AG26">
        <v>60.508985996246302</v>
      </c>
      <c r="AH26">
        <v>195.84102511405899</v>
      </c>
    </row>
    <row r="27" spans="1:34" x14ac:dyDescent="0.2">
      <c r="A27" t="s">
        <v>311</v>
      </c>
      <c r="B27">
        <v>30</v>
      </c>
      <c r="C27">
        <v>30</v>
      </c>
      <c r="D27">
        <v>60</v>
      </c>
      <c r="E27">
        <v>36</v>
      </c>
      <c r="F27">
        <v>3</v>
      </c>
      <c r="G27">
        <v>2695</v>
      </c>
      <c r="H27">
        <v>39</v>
      </c>
      <c r="I27">
        <v>120</v>
      </c>
      <c r="J27">
        <v>159</v>
      </c>
      <c r="K27">
        <v>60</v>
      </c>
      <c r="L27">
        <v>105000</v>
      </c>
      <c r="M27">
        <v>2700000</v>
      </c>
      <c r="N27">
        <v>1</v>
      </c>
      <c r="O27">
        <v>29</v>
      </c>
      <c r="P27">
        <v>31.187111837703998</v>
      </c>
      <c r="Q27">
        <v>0</v>
      </c>
      <c r="R27">
        <v>1000000</v>
      </c>
      <c r="S27">
        <v>31.187111837703998</v>
      </c>
      <c r="T27">
        <v>0</v>
      </c>
      <c r="U27">
        <v>31.187111837703998</v>
      </c>
      <c r="V27">
        <v>0</v>
      </c>
      <c r="W27">
        <v>29.350941242899999</v>
      </c>
      <c r="X27">
        <f t="shared" si="0"/>
        <v>900000</v>
      </c>
      <c r="Y27">
        <v>100000</v>
      </c>
      <c r="Z27">
        <v>6</v>
      </c>
      <c r="AA27">
        <v>2</v>
      </c>
      <c r="AB27">
        <v>104</v>
      </c>
      <c r="AC27">
        <v>23</v>
      </c>
      <c r="AD27" t="s">
        <v>29</v>
      </c>
      <c r="AE27" t="s">
        <v>3</v>
      </c>
      <c r="AF27">
        <v>130.72081804275501</v>
      </c>
      <c r="AG27">
        <v>76.446866273880005</v>
      </c>
      <c r="AH27">
        <v>207.16768431663499</v>
      </c>
    </row>
    <row r="28" spans="1:34" x14ac:dyDescent="0.2">
      <c r="A28" t="s">
        <v>312</v>
      </c>
      <c r="B28">
        <v>30</v>
      </c>
      <c r="C28">
        <v>30</v>
      </c>
      <c r="D28">
        <v>60</v>
      </c>
      <c r="E28">
        <v>36</v>
      </c>
      <c r="F28">
        <v>3</v>
      </c>
      <c r="G28">
        <v>2689</v>
      </c>
      <c r="H28">
        <v>48</v>
      </c>
      <c r="I28">
        <v>120</v>
      </c>
      <c r="J28">
        <v>168</v>
      </c>
      <c r="K28">
        <v>56</v>
      </c>
      <c r="L28">
        <v>105000</v>
      </c>
      <c r="M28">
        <v>2700000</v>
      </c>
      <c r="N28">
        <v>3</v>
      </c>
      <c r="O28">
        <v>27</v>
      </c>
      <c r="P28">
        <v>33.904752112670799</v>
      </c>
      <c r="Q28">
        <v>0</v>
      </c>
      <c r="R28">
        <v>1150000.4578754499</v>
      </c>
      <c r="S28">
        <v>33.904752112670799</v>
      </c>
      <c r="T28">
        <v>0</v>
      </c>
      <c r="U28">
        <v>33.904752112670799</v>
      </c>
      <c r="V28">
        <v>0</v>
      </c>
      <c r="W28">
        <v>31.071418779337499</v>
      </c>
      <c r="X28">
        <f t="shared" si="0"/>
        <v>1200000</v>
      </c>
      <c r="Y28">
        <v>100000</v>
      </c>
      <c r="Z28">
        <v>8</v>
      </c>
      <c r="AA28">
        <v>2</v>
      </c>
      <c r="AB28">
        <v>105</v>
      </c>
      <c r="AC28">
        <v>15</v>
      </c>
      <c r="AD28" t="s">
        <v>30</v>
      </c>
      <c r="AE28" t="s">
        <v>3</v>
      </c>
      <c r="AF28">
        <v>137.56320428848201</v>
      </c>
      <c r="AG28">
        <v>33.734876871109002</v>
      </c>
      <c r="AH28">
        <v>171.29808115959099</v>
      </c>
    </row>
    <row r="29" spans="1:34" x14ac:dyDescent="0.2">
      <c r="A29" t="s">
        <v>313</v>
      </c>
      <c r="B29">
        <v>30</v>
      </c>
      <c r="C29">
        <v>30</v>
      </c>
      <c r="D29">
        <v>60</v>
      </c>
      <c r="E29">
        <v>36</v>
      </c>
      <c r="F29">
        <v>3</v>
      </c>
      <c r="G29">
        <v>2304</v>
      </c>
      <c r="H29">
        <v>46</v>
      </c>
      <c r="I29">
        <v>120</v>
      </c>
      <c r="J29">
        <v>166</v>
      </c>
      <c r="K29">
        <v>62</v>
      </c>
      <c r="L29">
        <v>105000</v>
      </c>
      <c r="M29">
        <v>2700000</v>
      </c>
      <c r="N29">
        <v>1</v>
      </c>
      <c r="O29">
        <v>29</v>
      </c>
      <c r="P29">
        <v>51.474152360033401</v>
      </c>
      <c r="Q29" s="1">
        <v>1.3032631775007401E-5</v>
      </c>
      <c r="R29">
        <v>1600000</v>
      </c>
      <c r="S29">
        <v>51.474823212449998</v>
      </c>
      <c r="T29">
        <v>0</v>
      </c>
      <c r="U29">
        <v>51.474823212449998</v>
      </c>
      <c r="V29">
        <v>0</v>
      </c>
      <c r="W29">
        <v>47.308156545783199</v>
      </c>
      <c r="X29">
        <f t="shared" si="0"/>
        <v>1500000</v>
      </c>
      <c r="Y29">
        <v>100000</v>
      </c>
      <c r="Z29">
        <v>10</v>
      </c>
      <c r="AA29">
        <v>2</v>
      </c>
      <c r="AB29">
        <v>135</v>
      </c>
      <c r="AC29">
        <v>23</v>
      </c>
      <c r="AD29" t="s">
        <v>31</v>
      </c>
      <c r="AE29" t="s">
        <v>1</v>
      </c>
      <c r="AF29">
        <v>139.89398312568599</v>
      </c>
      <c r="AG29">
        <v>121.87328314781099</v>
      </c>
      <c r="AH29">
        <v>261.76726627349802</v>
      </c>
    </row>
    <row r="30" spans="1:34" x14ac:dyDescent="0.2">
      <c r="A30" t="s">
        <v>314</v>
      </c>
      <c r="B30">
        <v>30</v>
      </c>
      <c r="C30">
        <v>30</v>
      </c>
      <c r="D30">
        <v>60</v>
      </c>
      <c r="E30">
        <v>36</v>
      </c>
      <c r="F30">
        <v>3</v>
      </c>
      <c r="G30">
        <v>2606</v>
      </c>
      <c r="H30">
        <v>47</v>
      </c>
      <c r="I30">
        <v>120</v>
      </c>
      <c r="J30">
        <v>167</v>
      </c>
      <c r="K30">
        <v>57</v>
      </c>
      <c r="L30">
        <v>105000</v>
      </c>
      <c r="M30">
        <v>2700000</v>
      </c>
      <c r="N30">
        <v>4</v>
      </c>
      <c r="O30">
        <v>26</v>
      </c>
      <c r="P30">
        <v>34.348114150707303</v>
      </c>
      <c r="Q30">
        <v>0</v>
      </c>
      <c r="R30">
        <v>1600000</v>
      </c>
      <c r="S30">
        <v>34.348114150707303</v>
      </c>
      <c r="T30">
        <v>0</v>
      </c>
      <c r="U30">
        <v>34.348114150707303</v>
      </c>
      <c r="V30">
        <v>0</v>
      </c>
      <c r="W30">
        <v>32.347449883280497</v>
      </c>
      <c r="X30">
        <f t="shared" si="0"/>
        <v>1200000</v>
      </c>
      <c r="Y30">
        <v>100000</v>
      </c>
      <c r="Z30">
        <v>8</v>
      </c>
      <c r="AA30">
        <v>2</v>
      </c>
      <c r="AB30">
        <v>96</v>
      </c>
      <c r="AC30">
        <v>16</v>
      </c>
      <c r="AD30" t="s">
        <v>32</v>
      </c>
      <c r="AE30" t="s">
        <v>1</v>
      </c>
      <c r="AF30">
        <v>223.26606822013801</v>
      </c>
      <c r="AG30">
        <v>82.421515941619802</v>
      </c>
      <c r="AH30">
        <v>305.68758416175802</v>
      </c>
    </row>
    <row r="31" spans="1:34" x14ac:dyDescent="0.2">
      <c r="A31" t="s">
        <v>315</v>
      </c>
      <c r="B31">
        <v>30</v>
      </c>
      <c r="C31">
        <v>30</v>
      </c>
      <c r="D31">
        <v>60</v>
      </c>
      <c r="E31">
        <v>36</v>
      </c>
      <c r="F31">
        <v>3</v>
      </c>
      <c r="G31">
        <v>2639</v>
      </c>
      <c r="H31">
        <v>43</v>
      </c>
      <c r="I31">
        <v>120</v>
      </c>
      <c r="J31">
        <v>163</v>
      </c>
      <c r="K31">
        <v>61</v>
      </c>
      <c r="L31">
        <v>105000</v>
      </c>
      <c r="M31">
        <v>2700000</v>
      </c>
      <c r="N31">
        <v>2</v>
      </c>
      <c r="O31">
        <v>28</v>
      </c>
      <c r="P31">
        <v>42.583800030746403</v>
      </c>
      <c r="Q31">
        <v>0</v>
      </c>
      <c r="R31">
        <v>1600000</v>
      </c>
      <c r="S31">
        <v>42.583800030746403</v>
      </c>
      <c r="T31">
        <v>0</v>
      </c>
      <c r="U31">
        <v>42.583800030746403</v>
      </c>
      <c r="V31">
        <v>0</v>
      </c>
      <c r="W31">
        <v>39.496375097360001</v>
      </c>
      <c r="X31">
        <f t="shared" si="0"/>
        <v>1350000</v>
      </c>
      <c r="Y31">
        <v>100000</v>
      </c>
      <c r="Z31">
        <v>9</v>
      </c>
      <c r="AA31">
        <v>2</v>
      </c>
      <c r="AB31">
        <v>117</v>
      </c>
      <c r="AC31">
        <v>21</v>
      </c>
      <c r="AD31" t="s">
        <v>33</v>
      </c>
      <c r="AE31" t="s">
        <v>3</v>
      </c>
      <c r="AF31">
        <v>148.55995702743499</v>
      </c>
      <c r="AG31">
        <v>120.55933189392</v>
      </c>
      <c r="AH31">
        <v>269.11928892135597</v>
      </c>
    </row>
    <row r="32" spans="1:34" x14ac:dyDescent="0.2">
      <c r="A32" t="s">
        <v>316</v>
      </c>
      <c r="B32">
        <v>40</v>
      </c>
      <c r="C32">
        <v>40</v>
      </c>
      <c r="D32">
        <v>80</v>
      </c>
      <c r="E32">
        <v>36</v>
      </c>
      <c r="F32">
        <v>3</v>
      </c>
      <c r="G32">
        <v>3620</v>
      </c>
      <c r="H32">
        <v>60</v>
      </c>
      <c r="I32">
        <v>120</v>
      </c>
      <c r="J32">
        <v>180</v>
      </c>
      <c r="K32">
        <v>71</v>
      </c>
      <c r="L32">
        <v>105000</v>
      </c>
      <c r="M32">
        <v>2700000</v>
      </c>
      <c r="N32">
        <v>12</v>
      </c>
      <c r="O32">
        <v>28</v>
      </c>
      <c r="P32">
        <v>46.397465323985998</v>
      </c>
      <c r="Q32">
        <v>0</v>
      </c>
      <c r="R32">
        <v>2050000</v>
      </c>
      <c r="S32">
        <v>46.397465323985998</v>
      </c>
      <c r="T32">
        <v>0</v>
      </c>
      <c r="U32">
        <v>46.397465323985998</v>
      </c>
      <c r="V32">
        <v>0</v>
      </c>
      <c r="W32">
        <v>32.798098992989402</v>
      </c>
      <c r="X32">
        <f t="shared" si="0"/>
        <v>1650000</v>
      </c>
      <c r="Y32">
        <v>100000</v>
      </c>
      <c r="Z32">
        <v>11</v>
      </c>
      <c r="AA32">
        <v>2</v>
      </c>
      <c r="AB32">
        <v>126</v>
      </c>
      <c r="AC32">
        <v>23</v>
      </c>
      <c r="AD32" t="s">
        <v>34</v>
      </c>
      <c r="AE32" t="s">
        <v>12</v>
      </c>
      <c r="AF32">
        <v>387.48169875144902</v>
      </c>
      <c r="AG32">
        <v>125.17034411430301</v>
      </c>
      <c r="AH32">
        <v>512.65204286575295</v>
      </c>
    </row>
    <row r="33" spans="1:34" x14ac:dyDescent="0.2">
      <c r="A33" t="s">
        <v>317</v>
      </c>
      <c r="B33">
        <v>40</v>
      </c>
      <c r="C33">
        <v>40</v>
      </c>
      <c r="D33">
        <v>80</v>
      </c>
      <c r="E33">
        <v>36</v>
      </c>
      <c r="F33">
        <v>3</v>
      </c>
      <c r="G33">
        <v>3707</v>
      </c>
      <c r="H33">
        <v>61</v>
      </c>
      <c r="I33">
        <v>120</v>
      </c>
      <c r="J33">
        <v>181</v>
      </c>
      <c r="K33">
        <v>78</v>
      </c>
      <c r="L33">
        <v>105000</v>
      </c>
      <c r="M33">
        <v>2700000</v>
      </c>
      <c r="N33">
        <v>4</v>
      </c>
      <c r="O33">
        <v>36</v>
      </c>
      <c r="P33">
        <v>48.373571549456102</v>
      </c>
      <c r="Q33">
        <v>0</v>
      </c>
      <c r="R33">
        <v>1900000.5524861801</v>
      </c>
      <c r="S33">
        <v>48.373571549456102</v>
      </c>
      <c r="T33">
        <v>0</v>
      </c>
      <c r="U33">
        <v>48.373571549456102</v>
      </c>
      <c r="V33">
        <v>0</v>
      </c>
      <c r="W33">
        <v>33.905178662091998</v>
      </c>
      <c r="X33">
        <f t="shared" si="0"/>
        <v>1950000</v>
      </c>
      <c r="Y33">
        <v>100000</v>
      </c>
      <c r="Z33">
        <v>13</v>
      </c>
      <c r="AA33">
        <v>2</v>
      </c>
      <c r="AB33">
        <v>139</v>
      </c>
      <c r="AC33">
        <v>23</v>
      </c>
      <c r="AD33" t="s">
        <v>35</v>
      </c>
      <c r="AE33" t="s">
        <v>3</v>
      </c>
      <c r="AF33">
        <v>383.48293113708399</v>
      </c>
      <c r="AG33">
        <v>59.670883655548003</v>
      </c>
      <c r="AH33">
        <v>443.153814792633</v>
      </c>
    </row>
    <row r="34" spans="1:34" x14ac:dyDescent="0.2">
      <c r="A34" t="s">
        <v>318</v>
      </c>
      <c r="B34">
        <v>40</v>
      </c>
      <c r="C34">
        <v>40</v>
      </c>
      <c r="D34">
        <v>80</v>
      </c>
      <c r="E34">
        <v>36</v>
      </c>
      <c r="F34">
        <v>3</v>
      </c>
      <c r="G34">
        <v>3547</v>
      </c>
      <c r="H34">
        <v>62</v>
      </c>
      <c r="I34">
        <v>120</v>
      </c>
      <c r="J34">
        <v>182</v>
      </c>
      <c r="K34">
        <v>74</v>
      </c>
      <c r="L34">
        <v>105000</v>
      </c>
      <c r="M34">
        <v>2700000</v>
      </c>
      <c r="N34">
        <v>11</v>
      </c>
      <c r="O34">
        <v>29</v>
      </c>
      <c r="P34">
        <v>50.860022967645698</v>
      </c>
      <c r="Q34">
        <v>0</v>
      </c>
      <c r="R34">
        <v>1750000</v>
      </c>
      <c r="S34">
        <v>50.860022967645698</v>
      </c>
      <c r="T34">
        <v>0</v>
      </c>
      <c r="U34">
        <v>50.860022967645698</v>
      </c>
      <c r="V34">
        <v>0</v>
      </c>
      <c r="W34">
        <v>35.3285077717577</v>
      </c>
      <c r="X34">
        <f t="shared" si="0"/>
        <v>1650000</v>
      </c>
      <c r="Y34">
        <v>100000</v>
      </c>
      <c r="Z34">
        <v>11</v>
      </c>
      <c r="AA34">
        <v>2</v>
      </c>
      <c r="AB34">
        <v>137</v>
      </c>
      <c r="AC34">
        <v>21</v>
      </c>
      <c r="AD34" t="s">
        <v>36</v>
      </c>
      <c r="AE34" t="s">
        <v>3</v>
      </c>
      <c r="AF34">
        <v>315.89736890792801</v>
      </c>
      <c r="AG34">
        <v>159.18544578552201</v>
      </c>
      <c r="AH34">
        <v>475.08281469345002</v>
      </c>
    </row>
    <row r="35" spans="1:34" x14ac:dyDescent="0.2">
      <c r="A35" t="s">
        <v>319</v>
      </c>
      <c r="B35">
        <v>40</v>
      </c>
      <c r="C35">
        <v>40</v>
      </c>
      <c r="D35">
        <v>80</v>
      </c>
      <c r="E35">
        <v>36</v>
      </c>
      <c r="F35">
        <v>3</v>
      </c>
      <c r="G35">
        <v>3870</v>
      </c>
      <c r="H35">
        <v>59</v>
      </c>
      <c r="I35">
        <v>120</v>
      </c>
      <c r="J35">
        <v>179</v>
      </c>
      <c r="K35">
        <v>67</v>
      </c>
      <c r="L35">
        <v>105000</v>
      </c>
      <c r="M35">
        <v>2700000</v>
      </c>
      <c r="N35">
        <v>3</v>
      </c>
      <c r="O35">
        <v>37</v>
      </c>
      <c r="P35">
        <v>37.174171698462402</v>
      </c>
      <c r="Q35">
        <v>0</v>
      </c>
      <c r="R35">
        <v>1300000.2793296</v>
      </c>
      <c r="S35">
        <v>37.174171698462402</v>
      </c>
      <c r="T35">
        <v>0</v>
      </c>
      <c r="U35">
        <v>37.174171698462402</v>
      </c>
      <c r="V35">
        <v>0</v>
      </c>
      <c r="W35">
        <v>26.005628773846801</v>
      </c>
      <c r="X35">
        <f t="shared" si="0"/>
        <v>1350000</v>
      </c>
      <c r="Y35">
        <v>100000</v>
      </c>
      <c r="Z35">
        <v>9</v>
      </c>
      <c r="AA35">
        <v>2</v>
      </c>
      <c r="AB35">
        <v>115</v>
      </c>
      <c r="AC35">
        <v>18</v>
      </c>
      <c r="AD35" t="s">
        <v>37</v>
      </c>
      <c r="AE35" t="s">
        <v>3</v>
      </c>
      <c r="AF35">
        <v>416.40254878997803</v>
      </c>
      <c r="AG35">
        <v>80.891351222991901</v>
      </c>
      <c r="AH35">
        <v>497.293900012969</v>
      </c>
    </row>
    <row r="36" spans="1:34" x14ac:dyDescent="0.2">
      <c r="A36" t="s">
        <v>320</v>
      </c>
      <c r="B36">
        <v>40</v>
      </c>
      <c r="C36">
        <v>40</v>
      </c>
      <c r="D36">
        <v>80</v>
      </c>
      <c r="E36">
        <v>36</v>
      </c>
      <c r="F36">
        <v>3</v>
      </c>
      <c r="G36">
        <v>3917</v>
      </c>
      <c r="H36">
        <v>59</v>
      </c>
      <c r="I36">
        <v>120</v>
      </c>
      <c r="J36">
        <v>179</v>
      </c>
      <c r="K36">
        <v>76</v>
      </c>
      <c r="L36">
        <v>105000</v>
      </c>
      <c r="M36">
        <v>2700000</v>
      </c>
      <c r="N36">
        <v>4</v>
      </c>
      <c r="O36">
        <v>36</v>
      </c>
      <c r="P36">
        <v>49.922518770279403</v>
      </c>
      <c r="Q36">
        <v>0</v>
      </c>
      <c r="R36">
        <v>2200000</v>
      </c>
      <c r="S36">
        <v>49.922518770279403</v>
      </c>
      <c r="T36">
        <v>0</v>
      </c>
      <c r="U36">
        <v>49.922518770279403</v>
      </c>
      <c r="V36">
        <v>0</v>
      </c>
      <c r="W36">
        <v>34.816889077709597</v>
      </c>
      <c r="X36">
        <f t="shared" si="0"/>
        <v>1950000</v>
      </c>
      <c r="Y36">
        <v>100000</v>
      </c>
      <c r="Z36">
        <v>13</v>
      </c>
      <c r="AA36">
        <v>2</v>
      </c>
      <c r="AB36">
        <v>143</v>
      </c>
      <c r="AC36">
        <v>25</v>
      </c>
      <c r="AD36" t="s">
        <v>38</v>
      </c>
      <c r="AE36" t="s">
        <v>1</v>
      </c>
      <c r="AF36">
        <v>377.93477916717501</v>
      </c>
      <c r="AG36">
        <v>198.11619591712901</v>
      </c>
      <c r="AH36">
        <v>576.05097508430401</v>
      </c>
    </row>
    <row r="37" spans="1:34" x14ac:dyDescent="0.2">
      <c r="A37" t="s">
        <v>321</v>
      </c>
      <c r="B37">
        <v>40</v>
      </c>
      <c r="C37">
        <v>40</v>
      </c>
      <c r="D37">
        <v>80</v>
      </c>
      <c r="E37">
        <v>36</v>
      </c>
      <c r="F37">
        <v>3</v>
      </c>
      <c r="G37">
        <v>3800</v>
      </c>
      <c r="H37">
        <v>64</v>
      </c>
      <c r="I37">
        <v>120</v>
      </c>
      <c r="J37">
        <v>184</v>
      </c>
      <c r="K37">
        <v>78</v>
      </c>
      <c r="L37">
        <v>105000</v>
      </c>
      <c r="M37">
        <v>2700000</v>
      </c>
      <c r="N37">
        <v>2</v>
      </c>
      <c r="O37">
        <v>38</v>
      </c>
      <c r="P37">
        <v>45.999429511537798</v>
      </c>
      <c r="Q37">
        <v>0</v>
      </c>
      <c r="R37">
        <v>1750000</v>
      </c>
      <c r="S37">
        <v>45.999429511537798</v>
      </c>
      <c r="T37">
        <v>0</v>
      </c>
      <c r="U37">
        <v>45.999429511537798</v>
      </c>
      <c r="V37">
        <v>0</v>
      </c>
      <c r="W37">
        <v>32.1224441875503</v>
      </c>
      <c r="X37">
        <f t="shared" si="0"/>
        <v>1650000</v>
      </c>
      <c r="Y37">
        <v>100000</v>
      </c>
      <c r="Z37">
        <v>11</v>
      </c>
      <c r="AA37">
        <v>2</v>
      </c>
      <c r="AB37">
        <v>136</v>
      </c>
      <c r="AC37">
        <v>21</v>
      </c>
      <c r="AD37" t="s">
        <v>39</v>
      </c>
      <c r="AE37" t="s">
        <v>3</v>
      </c>
      <c r="AF37">
        <v>380.05554103851301</v>
      </c>
      <c r="AG37">
        <v>112.59932804107601</v>
      </c>
      <c r="AH37">
        <v>492.65486907958899</v>
      </c>
    </row>
    <row r="38" spans="1:34" x14ac:dyDescent="0.2">
      <c r="A38" t="s">
        <v>322</v>
      </c>
      <c r="B38">
        <v>40</v>
      </c>
      <c r="C38">
        <v>40</v>
      </c>
      <c r="D38">
        <v>80</v>
      </c>
      <c r="E38">
        <v>36</v>
      </c>
      <c r="F38">
        <v>3</v>
      </c>
      <c r="G38">
        <v>3909</v>
      </c>
      <c r="H38">
        <v>67</v>
      </c>
      <c r="I38">
        <v>120</v>
      </c>
      <c r="J38">
        <v>187</v>
      </c>
      <c r="K38">
        <v>83</v>
      </c>
      <c r="L38">
        <v>105000</v>
      </c>
      <c r="M38">
        <v>2700000</v>
      </c>
      <c r="N38">
        <v>4</v>
      </c>
      <c r="O38">
        <v>36</v>
      </c>
      <c r="P38">
        <v>53.152202672213498</v>
      </c>
      <c r="Q38">
        <v>0</v>
      </c>
      <c r="R38">
        <v>1600000</v>
      </c>
      <c r="S38">
        <v>53.152202672213498</v>
      </c>
      <c r="T38">
        <v>0</v>
      </c>
      <c r="U38">
        <v>53.152202672213498</v>
      </c>
      <c r="V38">
        <v>0</v>
      </c>
      <c r="W38">
        <v>37.239152004160097</v>
      </c>
      <c r="X38">
        <f t="shared" si="0"/>
        <v>1500000</v>
      </c>
      <c r="Y38">
        <v>100000</v>
      </c>
      <c r="Z38">
        <v>10</v>
      </c>
      <c r="AA38">
        <v>2</v>
      </c>
      <c r="AB38">
        <v>151</v>
      </c>
      <c r="AC38">
        <v>26</v>
      </c>
      <c r="AD38" t="s">
        <v>40</v>
      </c>
      <c r="AE38" t="s">
        <v>1</v>
      </c>
      <c r="AF38">
        <v>422.03332877159102</v>
      </c>
      <c r="AG38">
        <v>148.075204133987</v>
      </c>
      <c r="AH38">
        <v>570.10853290557804</v>
      </c>
    </row>
    <row r="39" spans="1:34" x14ac:dyDescent="0.2">
      <c r="A39" t="s">
        <v>323</v>
      </c>
      <c r="B39">
        <v>40</v>
      </c>
      <c r="C39">
        <v>40</v>
      </c>
      <c r="D39">
        <v>80</v>
      </c>
      <c r="E39">
        <v>36</v>
      </c>
      <c r="F39">
        <v>3</v>
      </c>
      <c r="G39">
        <v>3879</v>
      </c>
      <c r="H39">
        <v>53</v>
      </c>
      <c r="I39">
        <v>120</v>
      </c>
      <c r="J39">
        <v>173</v>
      </c>
      <c r="K39">
        <v>79</v>
      </c>
      <c r="L39">
        <v>105000</v>
      </c>
      <c r="M39">
        <v>2700000</v>
      </c>
      <c r="N39">
        <v>1</v>
      </c>
      <c r="O39">
        <v>39</v>
      </c>
      <c r="P39">
        <v>43.234620308464798</v>
      </c>
      <c r="Q39">
        <v>0</v>
      </c>
      <c r="R39">
        <v>2800000</v>
      </c>
      <c r="S39">
        <v>43.234620308464798</v>
      </c>
      <c r="T39">
        <v>0</v>
      </c>
      <c r="U39">
        <v>43.234620308464798</v>
      </c>
      <c r="V39">
        <v>0</v>
      </c>
      <c r="W39">
        <v>30.984209339142499</v>
      </c>
      <c r="X39">
        <f t="shared" si="0"/>
        <v>1200000</v>
      </c>
      <c r="Y39">
        <v>100000</v>
      </c>
      <c r="Z39">
        <v>8</v>
      </c>
      <c r="AA39">
        <v>2</v>
      </c>
      <c r="AB39">
        <v>129</v>
      </c>
      <c r="AC39">
        <v>29</v>
      </c>
      <c r="AD39" t="s">
        <v>41</v>
      </c>
      <c r="AE39" t="s">
        <v>3</v>
      </c>
      <c r="AF39">
        <v>325.324321746826</v>
      </c>
      <c r="AG39">
        <v>124.367469787597</v>
      </c>
      <c r="AH39">
        <v>449.69179153442298</v>
      </c>
    </row>
    <row r="40" spans="1:34" x14ac:dyDescent="0.2">
      <c r="A40" t="s">
        <v>324</v>
      </c>
      <c r="B40">
        <v>40</v>
      </c>
      <c r="C40">
        <v>40</v>
      </c>
      <c r="D40">
        <v>80</v>
      </c>
      <c r="E40">
        <v>36</v>
      </c>
      <c r="F40">
        <v>3</v>
      </c>
      <c r="G40">
        <v>3847</v>
      </c>
      <c r="H40">
        <v>58</v>
      </c>
      <c r="I40">
        <v>120</v>
      </c>
      <c r="J40">
        <v>178</v>
      </c>
      <c r="K40">
        <v>70</v>
      </c>
      <c r="L40">
        <v>105000</v>
      </c>
      <c r="M40">
        <v>2700000</v>
      </c>
      <c r="N40">
        <v>12</v>
      </c>
      <c r="O40">
        <v>28</v>
      </c>
      <c r="P40">
        <v>41.4585412081234</v>
      </c>
      <c r="Q40">
        <v>0</v>
      </c>
      <c r="R40">
        <v>1750000</v>
      </c>
      <c r="S40">
        <v>41.4585412081234</v>
      </c>
      <c r="T40">
        <v>0</v>
      </c>
      <c r="U40">
        <v>41.4585412081234</v>
      </c>
      <c r="V40">
        <v>0</v>
      </c>
      <c r="W40">
        <v>28.905465152155799</v>
      </c>
      <c r="X40">
        <f t="shared" si="0"/>
        <v>1650000</v>
      </c>
      <c r="Y40">
        <v>100000</v>
      </c>
      <c r="Z40">
        <v>11</v>
      </c>
      <c r="AA40">
        <v>2</v>
      </c>
      <c r="AB40">
        <v>121</v>
      </c>
      <c r="AC40">
        <v>17</v>
      </c>
      <c r="AD40" t="s">
        <v>42</v>
      </c>
      <c r="AE40" t="s">
        <v>3</v>
      </c>
      <c r="AF40">
        <v>335.89109611511202</v>
      </c>
      <c r="AG40">
        <v>106.524478912353</v>
      </c>
      <c r="AH40">
        <v>442.41557502746502</v>
      </c>
    </row>
    <row r="41" spans="1:34" x14ac:dyDescent="0.2">
      <c r="A41" t="s">
        <v>325</v>
      </c>
      <c r="B41">
        <v>40</v>
      </c>
      <c r="C41">
        <v>40</v>
      </c>
      <c r="D41">
        <v>80</v>
      </c>
      <c r="E41">
        <v>36</v>
      </c>
      <c r="F41">
        <v>3</v>
      </c>
      <c r="G41">
        <v>3591</v>
      </c>
      <c r="H41">
        <v>55</v>
      </c>
      <c r="I41">
        <v>120</v>
      </c>
      <c r="J41">
        <v>175</v>
      </c>
      <c r="K41">
        <v>69</v>
      </c>
      <c r="L41">
        <v>105000</v>
      </c>
      <c r="M41">
        <v>2700000</v>
      </c>
      <c r="N41">
        <v>3</v>
      </c>
      <c r="O41">
        <v>37</v>
      </c>
      <c r="P41">
        <v>41.528653421660103</v>
      </c>
      <c r="Q41">
        <v>0</v>
      </c>
      <c r="R41">
        <v>1750000</v>
      </c>
      <c r="S41">
        <v>41.528653421660202</v>
      </c>
      <c r="T41">
        <v>0</v>
      </c>
      <c r="U41">
        <v>41.528653421660202</v>
      </c>
      <c r="V41">
        <v>0</v>
      </c>
      <c r="W41">
        <v>29.0214900662451</v>
      </c>
      <c r="X41">
        <f t="shared" si="0"/>
        <v>1650000</v>
      </c>
      <c r="Y41">
        <v>100000</v>
      </c>
      <c r="Z41">
        <v>11</v>
      </c>
      <c r="AA41">
        <v>2</v>
      </c>
      <c r="AB41">
        <v>123</v>
      </c>
      <c r="AC41">
        <v>20</v>
      </c>
      <c r="AD41" t="s">
        <v>43</v>
      </c>
      <c r="AE41" t="s">
        <v>1</v>
      </c>
      <c r="AF41">
        <v>275.21182990074101</v>
      </c>
      <c r="AG41">
        <v>84.089141130447302</v>
      </c>
      <c r="AH41">
        <v>359.300971031188</v>
      </c>
    </row>
    <row r="42" spans="1:34" x14ac:dyDescent="0.2">
      <c r="A42" t="s">
        <v>326</v>
      </c>
      <c r="B42">
        <v>50</v>
      </c>
      <c r="C42">
        <v>50</v>
      </c>
      <c r="D42">
        <v>100</v>
      </c>
      <c r="E42">
        <v>36</v>
      </c>
      <c r="F42">
        <v>3</v>
      </c>
      <c r="G42">
        <v>5174</v>
      </c>
      <c r="H42">
        <v>69</v>
      </c>
      <c r="I42">
        <v>120</v>
      </c>
      <c r="J42">
        <v>189</v>
      </c>
      <c r="K42">
        <v>80</v>
      </c>
      <c r="L42">
        <v>105000</v>
      </c>
      <c r="M42">
        <v>2700000</v>
      </c>
      <c r="N42">
        <v>7</v>
      </c>
      <c r="O42">
        <v>43</v>
      </c>
      <c r="P42">
        <v>46.195567330139703</v>
      </c>
      <c r="Q42">
        <v>0</v>
      </c>
      <c r="R42">
        <v>1450000.37348272</v>
      </c>
      <c r="S42">
        <v>46.195567330139703</v>
      </c>
      <c r="T42">
        <v>0</v>
      </c>
      <c r="U42">
        <v>46.195567330139703</v>
      </c>
      <c r="V42">
        <v>0</v>
      </c>
      <c r="W42">
        <v>25.867340398083801</v>
      </c>
      <c r="X42">
        <f t="shared" si="0"/>
        <v>1650000</v>
      </c>
      <c r="Y42">
        <v>100000</v>
      </c>
      <c r="Z42">
        <v>11</v>
      </c>
      <c r="AA42">
        <v>2</v>
      </c>
      <c r="AB42">
        <v>137</v>
      </c>
      <c r="AC42">
        <v>20</v>
      </c>
      <c r="AD42" t="s">
        <v>44</v>
      </c>
      <c r="AE42" t="s">
        <v>1</v>
      </c>
      <c r="AF42">
        <v>920.86828923225403</v>
      </c>
      <c r="AG42">
        <v>125.94367909431401</v>
      </c>
      <c r="AH42">
        <v>1046.81196832656</v>
      </c>
    </row>
    <row r="43" spans="1:34" x14ac:dyDescent="0.2">
      <c r="A43" t="s">
        <v>327</v>
      </c>
      <c r="B43">
        <v>50</v>
      </c>
      <c r="C43">
        <v>50</v>
      </c>
      <c r="D43">
        <v>100</v>
      </c>
      <c r="E43">
        <v>36</v>
      </c>
      <c r="F43">
        <v>3</v>
      </c>
      <c r="G43">
        <v>5259</v>
      </c>
      <c r="H43">
        <v>81</v>
      </c>
      <c r="I43">
        <v>120</v>
      </c>
      <c r="J43">
        <v>201</v>
      </c>
      <c r="K43">
        <v>89</v>
      </c>
      <c r="L43">
        <v>105000</v>
      </c>
      <c r="M43">
        <v>2700000</v>
      </c>
      <c r="N43">
        <v>3</v>
      </c>
      <c r="O43">
        <v>47</v>
      </c>
      <c r="P43">
        <v>58.533857538790997</v>
      </c>
      <c r="Q43">
        <v>0</v>
      </c>
      <c r="R43">
        <v>1600000</v>
      </c>
      <c r="S43">
        <v>58.533857538790997</v>
      </c>
      <c r="T43">
        <v>0</v>
      </c>
      <c r="U43">
        <v>58.533857538790997</v>
      </c>
      <c r="V43">
        <v>0</v>
      </c>
      <c r="W43">
        <v>32.218612166392099</v>
      </c>
      <c r="X43">
        <f t="shared" si="0"/>
        <v>1500000</v>
      </c>
      <c r="Y43">
        <v>100000</v>
      </c>
      <c r="Z43">
        <v>10</v>
      </c>
      <c r="AA43">
        <v>2</v>
      </c>
      <c r="AB43">
        <v>164</v>
      </c>
      <c r="AC43">
        <v>18</v>
      </c>
      <c r="AD43" t="s">
        <v>45</v>
      </c>
      <c r="AE43" t="s">
        <v>3</v>
      </c>
      <c r="AF43">
        <v>1526.5308821201299</v>
      </c>
      <c r="AG43">
        <v>195.112702369689</v>
      </c>
      <c r="AH43">
        <v>1721.6435844898199</v>
      </c>
    </row>
    <row r="44" spans="1:34" x14ac:dyDescent="0.2">
      <c r="A44" t="s">
        <v>328</v>
      </c>
      <c r="B44">
        <v>50</v>
      </c>
      <c r="C44">
        <v>50</v>
      </c>
      <c r="D44">
        <v>100</v>
      </c>
      <c r="E44">
        <v>36</v>
      </c>
      <c r="F44">
        <v>3</v>
      </c>
      <c r="G44">
        <v>5334</v>
      </c>
      <c r="H44">
        <v>64</v>
      </c>
      <c r="I44">
        <v>120</v>
      </c>
      <c r="J44">
        <v>184</v>
      </c>
      <c r="K44">
        <v>97</v>
      </c>
      <c r="L44">
        <v>105000</v>
      </c>
      <c r="M44">
        <v>2700000</v>
      </c>
      <c r="N44">
        <v>11</v>
      </c>
      <c r="O44">
        <v>39</v>
      </c>
      <c r="P44">
        <v>60.2272524101462</v>
      </c>
      <c r="Q44">
        <v>0</v>
      </c>
      <c r="R44">
        <v>1750000</v>
      </c>
      <c r="S44">
        <v>60.2272524101462</v>
      </c>
      <c r="T44">
        <v>0</v>
      </c>
      <c r="U44">
        <v>60.2272524101462</v>
      </c>
      <c r="V44">
        <v>0</v>
      </c>
      <c r="W44">
        <v>34.085155764719403</v>
      </c>
      <c r="X44">
        <f t="shared" si="0"/>
        <v>1500000</v>
      </c>
      <c r="Y44">
        <v>100000</v>
      </c>
      <c r="Z44">
        <v>10</v>
      </c>
      <c r="AA44">
        <v>2</v>
      </c>
      <c r="AB44">
        <v>172</v>
      </c>
      <c r="AC44">
        <v>37</v>
      </c>
      <c r="AD44" t="s">
        <v>46</v>
      </c>
      <c r="AE44" t="s">
        <v>1</v>
      </c>
      <c r="AF44">
        <v>953.887783050537</v>
      </c>
      <c r="AG44">
        <v>225.667033910751</v>
      </c>
      <c r="AH44">
        <v>1179.55481696128</v>
      </c>
    </row>
    <row r="45" spans="1:34" x14ac:dyDescent="0.2">
      <c r="A45" t="s">
        <v>329</v>
      </c>
      <c r="B45">
        <v>50</v>
      </c>
      <c r="C45">
        <v>50</v>
      </c>
      <c r="D45">
        <v>100</v>
      </c>
      <c r="E45">
        <v>36</v>
      </c>
      <c r="F45">
        <v>3</v>
      </c>
      <c r="G45">
        <v>5066</v>
      </c>
      <c r="H45">
        <v>76</v>
      </c>
      <c r="I45">
        <v>120</v>
      </c>
      <c r="J45">
        <v>196</v>
      </c>
      <c r="K45">
        <v>97</v>
      </c>
      <c r="L45">
        <v>105000</v>
      </c>
      <c r="M45">
        <v>2700000</v>
      </c>
      <c r="N45">
        <v>5</v>
      </c>
      <c r="O45">
        <v>45</v>
      </c>
      <c r="P45">
        <v>67.510963819855306</v>
      </c>
      <c r="Q45" s="1">
        <v>2.0214650053639299E-6</v>
      </c>
      <c r="R45">
        <v>1750000</v>
      </c>
      <c r="S45">
        <v>67.511100291182004</v>
      </c>
      <c r="T45">
        <v>0</v>
      </c>
      <c r="U45">
        <v>67.511100291182004</v>
      </c>
      <c r="V45">
        <v>0</v>
      </c>
      <c r="W45">
        <v>37.255863053797</v>
      </c>
      <c r="X45">
        <f t="shared" si="0"/>
        <v>1650000</v>
      </c>
      <c r="Y45">
        <v>100000</v>
      </c>
      <c r="Z45">
        <v>11</v>
      </c>
      <c r="AA45">
        <v>2</v>
      </c>
      <c r="AB45">
        <v>193</v>
      </c>
      <c r="AC45">
        <v>33</v>
      </c>
      <c r="AD45" t="s">
        <v>47</v>
      </c>
      <c r="AE45" t="s">
        <v>1</v>
      </c>
      <c r="AF45">
        <v>1031.6846191883001</v>
      </c>
      <c r="AG45">
        <v>232.23698401451099</v>
      </c>
      <c r="AH45">
        <v>1263.92160320281</v>
      </c>
    </row>
    <row r="46" spans="1:34" x14ac:dyDescent="0.2">
      <c r="A46" t="s">
        <v>330</v>
      </c>
      <c r="B46">
        <v>50</v>
      </c>
      <c r="C46">
        <v>50</v>
      </c>
      <c r="D46">
        <v>100</v>
      </c>
      <c r="E46">
        <v>36</v>
      </c>
      <c r="F46">
        <v>3</v>
      </c>
      <c r="G46">
        <v>5356</v>
      </c>
      <c r="H46">
        <v>72</v>
      </c>
      <c r="I46">
        <v>120</v>
      </c>
      <c r="J46">
        <v>192</v>
      </c>
      <c r="K46">
        <v>108</v>
      </c>
      <c r="L46">
        <v>105000</v>
      </c>
      <c r="M46">
        <v>2700000</v>
      </c>
      <c r="N46">
        <v>5</v>
      </c>
      <c r="O46">
        <v>45</v>
      </c>
      <c r="P46">
        <v>68.170568689243694</v>
      </c>
      <c r="Q46">
        <v>0</v>
      </c>
      <c r="R46">
        <v>2800000</v>
      </c>
      <c r="S46">
        <v>68.170568689243694</v>
      </c>
      <c r="T46">
        <v>0</v>
      </c>
      <c r="U46">
        <v>68.170568689243694</v>
      </c>
      <c r="V46">
        <v>0</v>
      </c>
      <c r="W46">
        <v>37.894223717852803</v>
      </c>
      <c r="X46">
        <f t="shared" si="0"/>
        <v>1950000</v>
      </c>
      <c r="Y46">
        <v>100000</v>
      </c>
      <c r="Z46">
        <v>13</v>
      </c>
      <c r="AA46">
        <v>2</v>
      </c>
      <c r="AB46">
        <v>207</v>
      </c>
      <c r="AC46">
        <v>40</v>
      </c>
      <c r="AD46" t="s">
        <v>48</v>
      </c>
      <c r="AE46" t="s">
        <v>3</v>
      </c>
      <c r="AF46">
        <v>1404.5709979534099</v>
      </c>
      <c r="AG46">
        <v>511.645045995712</v>
      </c>
      <c r="AH46">
        <v>1916.2160439491199</v>
      </c>
    </row>
    <row r="47" spans="1:34" x14ac:dyDescent="0.2">
      <c r="A47" t="s">
        <v>331</v>
      </c>
      <c r="B47">
        <v>50</v>
      </c>
      <c r="C47">
        <v>50</v>
      </c>
      <c r="D47">
        <v>100</v>
      </c>
      <c r="E47">
        <v>36</v>
      </c>
      <c r="F47">
        <v>3</v>
      </c>
      <c r="G47">
        <v>5440</v>
      </c>
      <c r="H47">
        <v>87</v>
      </c>
      <c r="I47">
        <v>120</v>
      </c>
      <c r="J47">
        <v>207</v>
      </c>
      <c r="K47">
        <v>96</v>
      </c>
      <c r="L47">
        <v>105000</v>
      </c>
      <c r="M47">
        <v>2700000</v>
      </c>
      <c r="N47">
        <v>0</v>
      </c>
      <c r="O47">
        <v>50</v>
      </c>
      <c r="P47">
        <v>59.613596140198602</v>
      </c>
      <c r="Q47">
        <v>0</v>
      </c>
      <c r="R47">
        <v>1300001.0230179001</v>
      </c>
      <c r="S47">
        <v>59.613596140198602</v>
      </c>
      <c r="T47">
        <v>0</v>
      </c>
      <c r="U47">
        <v>59.613596140198602</v>
      </c>
      <c r="V47">
        <v>0</v>
      </c>
      <c r="W47">
        <v>33.218157684119198</v>
      </c>
      <c r="X47">
        <f t="shared" si="0"/>
        <v>1650000</v>
      </c>
      <c r="Y47">
        <v>100000</v>
      </c>
      <c r="Z47">
        <v>11</v>
      </c>
      <c r="AA47">
        <v>2</v>
      </c>
      <c r="AB47">
        <v>172</v>
      </c>
      <c r="AC47">
        <v>25</v>
      </c>
      <c r="AD47" t="s">
        <v>49</v>
      </c>
      <c r="AE47" t="s">
        <v>3</v>
      </c>
      <c r="AF47">
        <v>1421.42409586906</v>
      </c>
      <c r="AG47">
        <v>157.245306968688</v>
      </c>
      <c r="AH47">
        <v>1578.6694028377501</v>
      </c>
    </row>
    <row r="48" spans="1:34" x14ac:dyDescent="0.2">
      <c r="A48" t="s">
        <v>332</v>
      </c>
      <c r="B48">
        <v>50</v>
      </c>
      <c r="C48">
        <v>50</v>
      </c>
      <c r="D48">
        <v>100</v>
      </c>
      <c r="E48">
        <v>36</v>
      </c>
      <c r="F48">
        <v>3</v>
      </c>
      <c r="G48">
        <v>5424</v>
      </c>
      <c r="H48">
        <v>70</v>
      </c>
      <c r="I48">
        <v>120</v>
      </c>
      <c r="J48">
        <v>190</v>
      </c>
      <c r="K48">
        <v>97</v>
      </c>
      <c r="L48">
        <v>105000</v>
      </c>
      <c r="M48">
        <v>2700000</v>
      </c>
      <c r="N48">
        <v>7</v>
      </c>
      <c r="O48">
        <v>43</v>
      </c>
      <c r="P48">
        <v>66.975869128180193</v>
      </c>
      <c r="Q48">
        <v>0</v>
      </c>
      <c r="R48">
        <v>2200000.1857585101</v>
      </c>
      <c r="S48">
        <v>66.975869128180193</v>
      </c>
      <c r="T48">
        <v>0</v>
      </c>
      <c r="U48">
        <v>66.975869128180193</v>
      </c>
      <c r="V48">
        <v>0</v>
      </c>
      <c r="W48">
        <v>37.535521476908102</v>
      </c>
      <c r="X48">
        <f t="shared" si="0"/>
        <v>2100000</v>
      </c>
      <c r="Y48">
        <v>100000</v>
      </c>
      <c r="Z48">
        <v>14</v>
      </c>
      <c r="AA48">
        <v>2</v>
      </c>
      <c r="AB48">
        <v>186</v>
      </c>
      <c r="AC48">
        <v>36</v>
      </c>
      <c r="AD48" t="s">
        <v>50</v>
      </c>
      <c r="AE48" t="s">
        <v>1</v>
      </c>
      <c r="AF48">
        <v>1027.10095500946</v>
      </c>
      <c r="AG48">
        <v>187.06384015083299</v>
      </c>
      <c r="AH48">
        <v>1214.1647951602899</v>
      </c>
    </row>
    <row r="49" spans="1:34" x14ac:dyDescent="0.2">
      <c r="A49" t="s">
        <v>333</v>
      </c>
      <c r="B49">
        <v>50</v>
      </c>
      <c r="C49">
        <v>50</v>
      </c>
      <c r="D49">
        <v>100</v>
      </c>
      <c r="E49">
        <v>36</v>
      </c>
      <c r="F49">
        <v>3</v>
      </c>
      <c r="G49">
        <v>5071</v>
      </c>
      <c r="H49">
        <v>84</v>
      </c>
      <c r="I49">
        <v>120</v>
      </c>
      <c r="J49">
        <v>204</v>
      </c>
      <c r="K49">
        <v>109</v>
      </c>
      <c r="L49">
        <v>105000</v>
      </c>
      <c r="M49">
        <v>2700000</v>
      </c>
      <c r="N49">
        <v>4</v>
      </c>
      <c r="O49">
        <v>46</v>
      </c>
      <c r="P49">
        <v>75.606264778819394</v>
      </c>
      <c r="Q49">
        <v>0</v>
      </c>
      <c r="R49">
        <v>2200000</v>
      </c>
      <c r="S49">
        <v>75.606264778819394</v>
      </c>
      <c r="T49">
        <v>0</v>
      </c>
      <c r="U49">
        <v>75.606264778819394</v>
      </c>
      <c r="V49">
        <v>0</v>
      </c>
      <c r="W49">
        <v>42.013360306835402</v>
      </c>
      <c r="X49">
        <f t="shared" si="0"/>
        <v>2100000</v>
      </c>
      <c r="Y49">
        <v>100000</v>
      </c>
      <c r="Z49">
        <v>14</v>
      </c>
      <c r="AA49">
        <v>2</v>
      </c>
      <c r="AB49">
        <v>209</v>
      </c>
      <c r="AC49">
        <v>34</v>
      </c>
      <c r="AD49" t="s">
        <v>51</v>
      </c>
      <c r="AE49" t="s">
        <v>1</v>
      </c>
      <c r="AF49">
        <v>1059.1911718845299</v>
      </c>
      <c r="AG49">
        <v>214.019200801849</v>
      </c>
      <c r="AH49">
        <v>1273.21037268638</v>
      </c>
    </row>
    <row r="50" spans="1:34" x14ac:dyDescent="0.2">
      <c r="A50" t="s">
        <v>334</v>
      </c>
      <c r="B50">
        <v>50</v>
      </c>
      <c r="C50">
        <v>50</v>
      </c>
      <c r="D50">
        <v>100</v>
      </c>
      <c r="E50">
        <v>36</v>
      </c>
      <c r="F50">
        <v>3</v>
      </c>
      <c r="G50">
        <v>5349</v>
      </c>
      <c r="H50">
        <v>68</v>
      </c>
      <c r="I50">
        <v>120</v>
      </c>
      <c r="J50">
        <v>188</v>
      </c>
      <c r="K50">
        <v>96</v>
      </c>
      <c r="L50">
        <v>105000</v>
      </c>
      <c r="M50">
        <v>2700000</v>
      </c>
      <c r="N50">
        <v>15</v>
      </c>
      <c r="O50">
        <v>35</v>
      </c>
      <c r="P50">
        <v>58.8164965154836</v>
      </c>
      <c r="Q50">
        <v>0</v>
      </c>
      <c r="R50">
        <v>1600000</v>
      </c>
      <c r="S50">
        <v>58.8164965154836</v>
      </c>
      <c r="T50">
        <v>0</v>
      </c>
      <c r="U50">
        <v>58.8164965154836</v>
      </c>
      <c r="V50">
        <v>0</v>
      </c>
      <c r="W50">
        <v>33.321960561021001</v>
      </c>
      <c r="X50">
        <f t="shared" si="0"/>
        <v>1500000</v>
      </c>
      <c r="Y50">
        <v>100000</v>
      </c>
      <c r="Z50">
        <v>10</v>
      </c>
      <c r="AA50">
        <v>2</v>
      </c>
      <c r="AB50">
        <v>167</v>
      </c>
      <c r="AC50">
        <v>35</v>
      </c>
      <c r="AD50" t="s">
        <v>52</v>
      </c>
      <c r="AE50" t="s">
        <v>3</v>
      </c>
      <c r="AF50">
        <v>1039.9100790023799</v>
      </c>
      <c r="AG50">
        <v>178.166967153549</v>
      </c>
      <c r="AH50">
        <v>1218.07704615592</v>
      </c>
    </row>
    <row r="51" spans="1:34" x14ac:dyDescent="0.2">
      <c r="A51" t="s">
        <v>335</v>
      </c>
      <c r="B51">
        <v>50</v>
      </c>
      <c r="C51">
        <v>50</v>
      </c>
      <c r="D51">
        <v>100</v>
      </c>
      <c r="E51">
        <v>36</v>
      </c>
      <c r="F51">
        <v>3</v>
      </c>
      <c r="G51">
        <v>4541</v>
      </c>
      <c r="H51">
        <v>82</v>
      </c>
      <c r="I51">
        <v>120</v>
      </c>
      <c r="J51">
        <v>202</v>
      </c>
      <c r="K51">
        <v>101</v>
      </c>
      <c r="L51">
        <v>105000</v>
      </c>
      <c r="M51">
        <v>2700000</v>
      </c>
      <c r="N51">
        <v>5</v>
      </c>
      <c r="O51">
        <v>45</v>
      </c>
      <c r="P51">
        <v>73.9785185603847</v>
      </c>
      <c r="Q51" s="1">
        <v>3.68283575654059E-5</v>
      </c>
      <c r="R51">
        <v>2500000</v>
      </c>
      <c r="S51">
        <v>73.981243168061198</v>
      </c>
      <c r="T51">
        <v>0</v>
      </c>
      <c r="U51">
        <v>73.981243168061198</v>
      </c>
      <c r="V51">
        <v>0</v>
      </c>
      <c r="W51">
        <v>40.684033131356799</v>
      </c>
      <c r="X51">
        <f t="shared" si="0"/>
        <v>2250000</v>
      </c>
      <c r="Y51">
        <v>100000</v>
      </c>
      <c r="Z51">
        <v>15</v>
      </c>
      <c r="AA51">
        <v>2</v>
      </c>
      <c r="AB51">
        <v>199</v>
      </c>
      <c r="AC51">
        <v>29</v>
      </c>
      <c r="AD51" t="s">
        <v>53</v>
      </c>
      <c r="AE51" t="s">
        <v>3</v>
      </c>
      <c r="AF51">
        <v>868.00721979141201</v>
      </c>
      <c r="AG51">
        <v>171.90956711769101</v>
      </c>
      <c r="AH51">
        <v>1039.9167869091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MM-roma5</vt:lpstr>
      <vt:lpstr>MM-napoli5</vt:lpstr>
      <vt:lpstr>MM-milano5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SCLAFANI</dc:creator>
  <cp:lastModifiedBy>ALESSIO SCLAFANI</cp:lastModifiedBy>
  <dcterms:created xsi:type="dcterms:W3CDTF">2026-03-10T09:06:58Z</dcterms:created>
  <dcterms:modified xsi:type="dcterms:W3CDTF">2026-03-12T18:51:03Z</dcterms:modified>
</cp:coreProperties>
</file>